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9"/>
  <workbookPr/>
  <mc:AlternateContent xmlns:mc="http://schemas.openxmlformats.org/markup-compatibility/2006">
    <mc:Choice Requires="x15">
      <x15ac:absPath xmlns:x15ac="http://schemas.microsoft.com/office/spreadsheetml/2010/11/ac" url="C:\Users\pmgtu\Desktop\اليوم\"/>
    </mc:Choice>
  </mc:AlternateContent>
  <xr:revisionPtr revIDLastSave="0" documentId="11_6E48877D66E811D29ABA32C64AD8D9CEF2795D29" xr6:coauthVersionLast="47" xr6:coauthVersionMax="47" xr10:uidLastSave="{00000000-0000-0000-0000-000000000000}"/>
  <bookViews>
    <workbookView xWindow="0" yWindow="0" windowWidth="16380" windowHeight="8196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69" i="1" l="1"/>
  <c r="F11" i="1"/>
  <c r="F23" i="1" l="1"/>
  <c r="F18" i="1"/>
  <c r="F17" i="1"/>
  <c r="F16" i="1"/>
  <c r="F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2" i="1"/>
  <c r="F131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3" i="1"/>
  <c r="F62" i="1"/>
  <c r="F61" i="1"/>
  <c r="F60" i="1"/>
  <c r="F59" i="1"/>
  <c r="F58" i="1"/>
  <c r="F57" i="1"/>
  <c r="F56" i="1"/>
  <c r="F55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2" i="1"/>
  <c r="F21" i="1"/>
  <c r="F20" i="1"/>
  <c r="F19" i="1"/>
  <c r="F14" i="1"/>
  <c r="F13" i="1"/>
  <c r="F12" i="1"/>
  <c r="F133" i="1" l="1"/>
  <c r="F128" i="1"/>
  <c r="F215" i="1"/>
  <c r="F88" i="1"/>
  <c r="F64" i="1"/>
  <c r="F52" i="1"/>
  <c r="F24" i="1"/>
  <c r="D221" i="1" l="1"/>
  <c r="B2" i="1" s="1"/>
</calcChain>
</file>

<file path=xl/sharedStrings.xml><?xml version="1.0" encoding="utf-8"?>
<sst xmlns="http://schemas.openxmlformats.org/spreadsheetml/2006/main" count="217" uniqueCount="213">
  <si>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</si>
  <si>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</si>
  <si>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</si>
  <si>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يوليو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</si>
  <si>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</si>
  <si>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</si>
  <si>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</si>
  <si>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</si>
  <si>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</si>
  <si>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</si>
  <si>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</si>
  <si>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</si>
  <si>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</si>
  <si>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</si>
  <si>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</si>
  <si>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</si>
  <si>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</si>
  <si>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</si>
  <si>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</si>
  <si>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</si>
  <si>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</si>
  <si>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</si>
  <si>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</si>
  <si>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</si>
  <si>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</si>
  <si>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</si>
  <si>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</si>
  <si>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</si>
  <si>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</si>
  <si>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</si>
  <si>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</si>
  <si>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</si>
  <si>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</si>
  <si>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</si>
  <si>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</si>
  <si>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</si>
  <si>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</si>
  <si>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</si>
  <si>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</si>
  <si>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</si>
  <si>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</si>
  <si>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</si>
  <si>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</si>
  <si>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</si>
  <si>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</si>
  <si>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</si>
  <si>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</si>
  <si>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</si>
  <si>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</si>
  <si>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</si>
  <si>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</si>
  <si>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</si>
  <si>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</si>
  <si>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</si>
  <si>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</si>
  <si>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</si>
  <si>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</si>
  <si>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</si>
  <si>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</si>
  <si>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</si>
  <si>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</si>
  <si>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</si>
  <si>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</si>
  <si>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</si>
  <si>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</si>
  <si>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</si>
  <si>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</si>
  <si>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</si>
  <si>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</si>
  <si>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</si>
  <si>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</si>
  <si>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</si>
  <si>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</si>
  <si>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</si>
  <si>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</si>
  <si>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</si>
  <si>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</si>
  <si>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</si>
  <si>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</si>
  <si>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</si>
  <si>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</si>
  <si>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</si>
  <si>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</si>
  <si>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</si>
  <si>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</si>
  <si>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</si>
  <si>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</si>
  <si>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</si>
  <si>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NA survival kit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</si>
  <si>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</si>
  <si>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</si>
  <si>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</si>
  <si>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</si>
  <si>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</si>
  <si>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</si>
  <si>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</si>
  <si>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</si>
  <si>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</si>
  <si>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</si>
  <si>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</si>
  <si>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</si>
  <si>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</si>
  <si>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</si>
  <si>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</si>
  <si>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</si>
  <si>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</si>
  <si>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</si>
  <si>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</si>
  <si>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</si>
  <si>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</si>
  <si>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</si>
  <si>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</si>
  <si>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</si>
  <si>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</si>
  <si>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</si>
  <si>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</si>
  <si>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</si>
  <si>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</si>
  <si>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</si>
  <si>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</si>
  <si>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</si>
  <si>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</si>
  <si>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</si>
  <si>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</si>
  <si>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</si>
  <si>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</si>
  <si>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</si>
  <si>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</si>
  <si>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</si>
  <si>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</si>
  <si>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</si>
  <si>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</si>
  <si>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</si>
  <si>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</si>
  <si>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</si>
  <si>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</si>
  <si>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</si>
  <si>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</si>
  <si>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</si>
  <si>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</si>
  <si>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</si>
  <si>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</si>
  <si>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</si>
  <si>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</si>
  <si>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</si>
  <si>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</si>
  <si>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</si>
  <si>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</si>
  <si>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</si>
  <si>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</si>
  <si>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</si>
  <si>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</si>
  <si>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</si>
  <si>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</si>
  <si>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</si>
  <si>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</si>
  <si>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</si>
  <si>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</si>
  <si>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</si>
  <si>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</si>
  <si>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</si>
  <si>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</si>
  <si>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</si>
  <si>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</si>
  <si>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</si>
  <si>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</si>
  <si>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بروزنز انفينتى 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</si>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</sst>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\٫00"/>
  </numFmts>
  <fonts count="25">
    <font>
      <sz val="10"/>
      <name val="Tahoma"/>
      <family val="2"/>
      <charset val="1"/>
    </font>
    <font>
      <sz val="11"/>
      <color rgb="FF000000"/>
      <name val="Arial"/>
      <family val="2"/>
    </font>
    <font>
      <b/>
      <sz val="22"/>
      <name val="Arial"/>
      <family val="2"/>
    </font>
    <font>
      <sz val="48"/>
      <name val="Arial"/>
      <family val="2"/>
    </font>
    <font>
      <b/>
      <sz val="26"/>
      <color rgb="FFFFFFFF"/>
      <name val="Calibri"/>
      <family val="2"/>
    </font>
    <font>
      <b/>
      <sz val="22"/>
      <color rgb="FFFFFFFF"/>
      <name val="Calibri"/>
      <family val="2"/>
    </font>
    <font>
      <b/>
      <sz val="24"/>
      <color rgb="FFFFFFFF"/>
      <name val="Calibri"/>
      <family val="2"/>
    </font>
    <font>
      <b/>
      <sz val="18"/>
      <color rgb="FFFFFFFF"/>
      <name val="Calibri"/>
      <family val="2"/>
    </font>
    <font>
      <sz val="16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4"/>
      <name val="Calibri"/>
      <family val="2"/>
    </font>
    <font>
      <u/>
      <sz val="11"/>
      <name val="Calibri"/>
      <family val="2"/>
    </font>
    <font>
      <sz val="11"/>
      <name val="Arial"/>
      <family val="2"/>
    </font>
    <font>
      <b/>
      <sz val="12"/>
      <name val="Arial"/>
      <family val="2"/>
    </font>
    <font>
      <b/>
      <sz val="8"/>
      <name val="Calibri"/>
      <family val="2"/>
    </font>
    <font>
      <b/>
      <sz val="11"/>
      <color rgb="FF000000"/>
      <name val="Calibri"/>
      <family val="2"/>
    </font>
    <font>
      <sz val="9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24"/>
      <name val="Calibri"/>
      <family val="2"/>
    </font>
    <font>
      <b/>
      <sz val="12"/>
      <name val="Tahoma"/>
      <family val="2"/>
      <charset val="1"/>
    </font>
    <font>
      <b/>
      <sz val="11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4285F4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7" fillId="4" borderId="3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1" fillId="5" borderId="1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right" readingOrder="2"/>
    </xf>
    <xf numFmtId="0" fontId="13" fillId="5" borderId="8" xfId="0" applyFont="1" applyFill="1" applyBorder="1" applyAlignment="1">
      <alignment horizontal="center" vertical="center"/>
    </xf>
    <xf numFmtId="1" fontId="13" fillId="6" borderId="8" xfId="0" applyNumberFormat="1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4" fillId="0" borderId="0" xfId="0" applyFont="1"/>
    <xf numFmtId="0" fontId="12" fillId="11" borderId="9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right" readingOrder="2"/>
    </xf>
    <xf numFmtId="0" fontId="13" fillId="5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right" readingOrder="2"/>
    </xf>
    <xf numFmtId="0" fontId="13" fillId="13" borderId="9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right" vertical="center" wrapText="1" readingOrder="2"/>
    </xf>
    <xf numFmtId="0" fontId="13" fillId="13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right" vertical="center" wrapText="1" readingOrder="2"/>
    </xf>
    <xf numFmtId="0" fontId="10" fillId="14" borderId="14" xfId="0" applyFont="1" applyFill="1" applyBorder="1" applyAlignment="1">
      <alignment horizontal="center" vertical="center"/>
    </xf>
    <xf numFmtId="0" fontId="13" fillId="0" borderId="0" xfId="0" applyFont="1"/>
    <xf numFmtId="0" fontId="11" fillId="0" borderId="0" xfId="0" applyFont="1"/>
    <xf numFmtId="0" fontId="11" fillId="15" borderId="6" xfId="0" applyFont="1" applyFill="1" applyBorder="1" applyAlignment="1">
      <alignment horizontal="center" vertical="center"/>
    </xf>
    <xf numFmtId="0" fontId="13" fillId="15" borderId="15" xfId="0" applyFont="1" applyFill="1" applyBorder="1"/>
    <xf numFmtId="1" fontId="13" fillId="6" borderId="11" xfId="0" applyNumberFormat="1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13" fillId="15" borderId="16" xfId="0" applyFont="1" applyFill="1" applyBorder="1"/>
    <xf numFmtId="0" fontId="13" fillId="15" borderId="17" xfId="0" applyFont="1" applyFill="1" applyBorder="1"/>
    <xf numFmtId="0" fontId="13" fillId="15" borderId="10" xfId="0" applyFont="1" applyFill="1" applyBorder="1"/>
    <xf numFmtId="0" fontId="12" fillId="15" borderId="18" xfId="0" applyFont="1" applyFill="1" applyBorder="1" applyAlignment="1">
      <alignment horizontal="center" vertical="center"/>
    </xf>
    <xf numFmtId="0" fontId="12" fillId="15" borderId="16" xfId="0" applyFont="1" applyFill="1" applyBorder="1"/>
    <xf numFmtId="0" fontId="1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5" borderId="19" xfId="0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/>
    </xf>
    <xf numFmtId="0" fontId="13" fillId="16" borderId="1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13" fillId="17" borderId="16" xfId="0" applyFont="1" applyFill="1" applyBorder="1" applyAlignment="1">
      <alignment horizontal="center"/>
    </xf>
    <xf numFmtId="0" fontId="13" fillId="18" borderId="9" xfId="0" applyFont="1" applyFill="1" applyBorder="1" applyAlignment="1">
      <alignment horizontal="center"/>
    </xf>
    <xf numFmtId="0" fontId="13" fillId="18" borderId="16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19" borderId="9" xfId="0" applyFont="1" applyFill="1" applyBorder="1" applyAlignment="1">
      <alignment horizontal="center"/>
    </xf>
    <xf numFmtId="0" fontId="13" fillId="19" borderId="16" xfId="0" applyFont="1" applyFill="1" applyBorder="1" applyAlignment="1">
      <alignment horizontal="center"/>
    </xf>
    <xf numFmtId="0" fontId="13" fillId="20" borderId="9" xfId="0" applyFont="1" applyFill="1" applyBorder="1" applyAlignment="1">
      <alignment horizontal="center"/>
    </xf>
    <xf numFmtId="0" fontId="13" fillId="20" borderId="16" xfId="0" applyFont="1" applyFill="1" applyBorder="1" applyAlignment="1">
      <alignment horizontal="center"/>
    </xf>
    <xf numFmtId="0" fontId="13" fillId="21" borderId="9" xfId="0" applyFont="1" applyFill="1" applyBorder="1" applyAlignment="1">
      <alignment horizontal="center"/>
    </xf>
    <xf numFmtId="0" fontId="13" fillId="21" borderId="16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0" fillId="14" borderId="20" xfId="0" applyFont="1" applyFill="1" applyBorder="1" applyAlignment="1">
      <alignment horizontal="center" vertical="center"/>
    </xf>
    <xf numFmtId="1" fontId="10" fillId="14" borderId="14" xfId="0" applyNumberFormat="1" applyFont="1" applyFill="1" applyBorder="1" applyAlignment="1">
      <alignment horizontal="center" vertical="center"/>
    </xf>
    <xf numFmtId="0" fontId="11" fillId="0" borderId="21" xfId="0" applyFont="1" applyBorder="1"/>
    <xf numFmtId="0" fontId="13" fillId="0" borderId="21" xfId="0" applyFont="1" applyBorder="1"/>
    <xf numFmtId="0" fontId="12" fillId="15" borderId="6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13" fillId="22" borderId="16" xfId="0" applyFont="1" applyFill="1" applyBorder="1"/>
    <xf numFmtId="0" fontId="12" fillId="7" borderId="9" xfId="0" applyFont="1" applyFill="1" applyBorder="1" applyAlignment="1">
      <alignment horizontal="center" vertical="center"/>
    </xf>
    <xf numFmtId="0" fontId="13" fillId="7" borderId="16" xfId="0" applyFont="1" applyFill="1" applyBorder="1"/>
    <xf numFmtId="0" fontId="12" fillId="21" borderId="9" xfId="0" applyFont="1" applyFill="1" applyBorder="1" applyAlignment="1">
      <alignment horizontal="center" vertical="center"/>
    </xf>
    <xf numFmtId="0" fontId="13" fillId="21" borderId="16" xfId="0" applyFont="1" applyFill="1" applyBorder="1"/>
    <xf numFmtId="0" fontId="12" fillId="6" borderId="9" xfId="0" applyFont="1" applyFill="1" applyBorder="1" applyAlignment="1">
      <alignment horizontal="center" vertical="center"/>
    </xf>
    <xf numFmtId="0" fontId="13" fillId="6" borderId="16" xfId="0" applyFont="1" applyFill="1" applyBorder="1"/>
    <xf numFmtId="0" fontId="12" fillId="10" borderId="9" xfId="0" applyFont="1" applyFill="1" applyBorder="1" applyAlignment="1">
      <alignment horizontal="center" vertical="center"/>
    </xf>
    <xf numFmtId="0" fontId="13" fillId="10" borderId="16" xfId="0" applyFont="1" applyFill="1" applyBorder="1"/>
    <xf numFmtId="0" fontId="12" fillId="13" borderId="16" xfId="0" applyFont="1" applyFill="1" applyBorder="1" applyAlignment="1">
      <alignment horizontal="center" vertical="center"/>
    </xf>
    <xf numFmtId="0" fontId="13" fillId="13" borderId="16" xfId="0" applyFont="1" applyFill="1" applyBorder="1"/>
    <xf numFmtId="0" fontId="10" fillId="14" borderId="23" xfId="0" applyFont="1" applyFill="1" applyBorder="1" applyAlignment="1">
      <alignment horizontal="center" vertical="center"/>
    </xf>
    <xf numFmtId="0" fontId="15" fillId="0" borderId="0" xfId="0" applyFont="1"/>
    <xf numFmtId="0" fontId="12" fillId="11" borderId="24" xfId="0" applyFont="1" applyFill="1" applyBorder="1" applyAlignment="1">
      <alignment horizontal="center" vertical="center"/>
    </xf>
    <xf numFmtId="0" fontId="13" fillId="11" borderId="7" xfId="0" applyFont="1" applyFill="1" applyBorder="1"/>
    <xf numFmtId="0" fontId="12" fillId="11" borderId="25" xfId="0" applyFont="1" applyFill="1" applyBorder="1" applyAlignment="1">
      <alignment horizontal="center" vertical="center"/>
    </xf>
    <xf numFmtId="0" fontId="13" fillId="11" borderId="10" xfId="0" applyFont="1" applyFill="1" applyBorder="1"/>
    <xf numFmtId="0" fontId="13" fillId="11" borderId="10" xfId="0" applyFont="1" applyFill="1" applyBorder="1" applyAlignment="1">
      <alignment horizontal="left" vertical="center"/>
    </xf>
    <xf numFmtId="0" fontId="13" fillId="11" borderId="15" xfId="0" applyFont="1" applyFill="1" applyBorder="1"/>
    <xf numFmtId="0" fontId="13" fillId="11" borderId="15" xfId="0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3" fillId="10" borderId="15" xfId="0" applyFont="1" applyFill="1" applyBorder="1"/>
    <xf numFmtId="0" fontId="12" fillId="10" borderId="26" xfId="0" applyFont="1" applyFill="1" applyBorder="1" applyAlignment="1">
      <alignment horizontal="center" vertical="center"/>
    </xf>
    <xf numFmtId="0" fontId="13" fillId="10" borderId="27" xfId="0" applyFont="1" applyFill="1" applyBorder="1"/>
    <xf numFmtId="0" fontId="17" fillId="0" borderId="28" xfId="0" applyFont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/>
    </xf>
    <xf numFmtId="165" fontId="18" fillId="23" borderId="15" xfId="0" applyNumberFormat="1" applyFont="1" applyFill="1" applyBorder="1" applyAlignment="1">
      <alignment horizontal="left" readingOrder="2"/>
    </xf>
    <xf numFmtId="0" fontId="19" fillId="5" borderId="19" xfId="0" applyFont="1" applyFill="1" applyBorder="1" applyAlignment="1">
      <alignment horizontal="center" vertical="center"/>
    </xf>
    <xf numFmtId="0" fontId="12" fillId="15" borderId="25" xfId="0" applyFont="1" applyFill="1" applyBorder="1" applyAlignment="1">
      <alignment horizontal="center" vertical="center"/>
    </xf>
    <xf numFmtId="165" fontId="18" fillId="23" borderId="16" xfId="0" applyNumberFormat="1" applyFont="1" applyFill="1" applyBorder="1" applyAlignment="1">
      <alignment horizontal="left" readingOrder="2"/>
    </xf>
    <xf numFmtId="0" fontId="20" fillId="15" borderId="25" xfId="0" applyFont="1" applyFill="1" applyBorder="1" applyAlignment="1">
      <alignment horizontal="center" vertical="center"/>
    </xf>
    <xf numFmtId="165" fontId="18" fillId="23" borderId="16" xfId="0" applyNumberFormat="1" applyFont="1" applyFill="1" applyBorder="1" applyAlignment="1">
      <alignment horizontal="left" vertical="center" readingOrder="2"/>
    </xf>
    <xf numFmtId="0" fontId="18" fillId="23" borderId="16" xfId="0" applyFont="1" applyFill="1" applyBorder="1" applyAlignment="1">
      <alignment horizontal="left" readingOrder="2"/>
    </xf>
    <xf numFmtId="0" fontId="18" fillId="24" borderId="16" xfId="0" applyFont="1" applyFill="1" applyBorder="1" applyAlignment="1">
      <alignment horizontal="left" readingOrder="2"/>
    </xf>
    <xf numFmtId="0" fontId="18" fillId="5" borderId="16" xfId="0" applyFont="1" applyFill="1" applyBorder="1" applyAlignment="1">
      <alignment horizontal="left" readingOrder="2"/>
    </xf>
    <xf numFmtId="0" fontId="21" fillId="13" borderId="16" xfId="0" applyFont="1" applyFill="1" applyBorder="1" applyAlignment="1">
      <alignment horizontal="right" vertical="center" wrapText="1"/>
    </xf>
    <xf numFmtId="0" fontId="21" fillId="13" borderId="30" xfId="0" applyFont="1" applyFill="1" applyBorder="1" applyAlignment="1">
      <alignment horizontal="right" vertical="center" wrapText="1"/>
    </xf>
    <xf numFmtId="0" fontId="21" fillId="13" borderId="31" xfId="0" applyFont="1" applyFill="1" applyBorder="1" applyAlignment="1">
      <alignment horizontal="right" vertical="center" wrapText="1"/>
    </xf>
    <xf numFmtId="0" fontId="13" fillId="7" borderId="32" xfId="0" applyFont="1" applyFill="1" applyBorder="1" applyAlignment="1">
      <alignment horizontal="center" vertical="center"/>
    </xf>
    <xf numFmtId="0" fontId="17" fillId="14" borderId="34" xfId="0" applyFont="1" applyFill="1" applyBorder="1" applyAlignment="1">
      <alignment horizontal="center" vertical="center"/>
    </xf>
    <xf numFmtId="0" fontId="17" fillId="14" borderId="35" xfId="0" applyFont="1" applyFill="1" applyBorder="1" applyAlignment="1">
      <alignment horizontal="center" vertical="center"/>
    </xf>
    <xf numFmtId="0" fontId="10" fillId="14" borderId="36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1" fillId="26" borderId="37" xfId="0" applyFont="1" applyFill="1" applyBorder="1" applyAlignment="1">
      <alignment horizontal="center" vertical="center"/>
    </xf>
    <xf numFmtId="0" fontId="21" fillId="26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164" fontId="6" fillId="4" borderId="4" xfId="0" applyNumberFormat="1" applyFont="1" applyFill="1" applyBorder="1" applyAlignment="1">
      <alignment horizontal="center" vertical="center"/>
    </xf>
    <xf numFmtId="15" fontId="7" fillId="4" borderId="4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22" fillId="25" borderId="25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14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8"/>
  <sheetViews>
    <sheetView rightToLeft="1" tabSelected="1" zoomScale="80" zoomScaleNormal="80" workbookViewId="0">
      <selection activeCell="K23" sqref="K22:K23"/>
    </sheetView>
  </sheetViews>
  <sheetFormatPr defaultColWidth="11.7109375" defaultRowHeight="15" customHeight="1"/>
  <cols>
    <col min="1" max="2" width="5.140625" customWidth="1"/>
    <col min="3" max="3" width="42" customWidth="1"/>
    <col min="4" max="4" width="9.7109375" customWidth="1"/>
    <col min="5" max="5" width="14.7109375" customWidth="1"/>
    <col min="6" max="6" width="19.140625" customWidth="1"/>
    <col min="7" max="7" width="16.7109375" customWidth="1"/>
    <col min="8" max="8" width="16.28515625" customWidth="1"/>
    <col min="9" max="15" width="9.7109375" customWidth="1"/>
  </cols>
  <sheetData>
    <row r="1" spans="1:15" ht="36" customHeight="1">
      <c r="A1" s="1"/>
      <c r="B1" s="117" t="s">
        <v>0</v>
      </c>
      <c r="C1" s="117"/>
      <c r="D1" s="117"/>
      <c r="E1" s="117"/>
      <c r="F1" s="117"/>
      <c r="G1" s="117"/>
      <c r="H1" s="117"/>
      <c r="I1" s="1"/>
      <c r="J1" s="1"/>
      <c r="K1" s="1"/>
      <c r="L1" s="1"/>
      <c r="M1" s="1"/>
      <c r="N1" s="1"/>
      <c r="O1" s="1"/>
    </row>
    <row r="2" spans="1:15" ht="14.25" customHeight="1">
      <c r="A2" s="1"/>
      <c r="B2" s="118">
        <f>D221</f>
        <v>39235</v>
      </c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</row>
    <row r="3" spans="1:15" ht="13.5" customHeight="1">
      <c r="A3" s="1"/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</row>
    <row r="4" spans="1:15" ht="13.5" customHeight="1">
      <c r="A4" s="1"/>
      <c r="B4" s="118"/>
      <c r="C4" s="118"/>
      <c r="D4" s="118"/>
      <c r="E4" s="118"/>
      <c r="F4" s="118"/>
      <c r="G4" s="118"/>
      <c r="H4" s="118"/>
      <c r="I4" s="1"/>
      <c r="J4" s="1"/>
      <c r="K4" s="1"/>
      <c r="L4" s="1"/>
      <c r="M4" s="1"/>
      <c r="N4" s="1"/>
      <c r="O4" s="1"/>
    </row>
    <row r="5" spans="1:15" ht="14.25" customHeight="1">
      <c r="A5" s="1"/>
      <c r="B5" s="118"/>
      <c r="C5" s="118"/>
      <c r="D5" s="118"/>
      <c r="E5" s="118"/>
      <c r="F5" s="118"/>
      <c r="G5" s="118"/>
      <c r="H5" s="118"/>
      <c r="I5" s="1"/>
      <c r="J5" s="1"/>
      <c r="K5" s="1"/>
      <c r="L5" s="1"/>
      <c r="M5" s="1"/>
      <c r="N5" s="1"/>
      <c r="O5" s="1"/>
    </row>
    <row r="6" spans="1:15" ht="45" customHeight="1">
      <c r="A6" s="1"/>
      <c r="B6" s="119" t="s">
        <v>1</v>
      </c>
      <c r="C6" s="119"/>
      <c r="D6" s="119"/>
      <c r="E6" s="119"/>
      <c r="F6" s="119"/>
      <c r="G6" s="119"/>
      <c r="H6" s="119"/>
      <c r="I6" s="1"/>
      <c r="J6" s="1"/>
      <c r="K6" s="1"/>
      <c r="L6" s="1"/>
      <c r="M6" s="1"/>
      <c r="N6" s="1"/>
      <c r="O6" s="1"/>
    </row>
    <row r="7" spans="1:15" ht="36" customHeight="1">
      <c r="A7" s="1"/>
      <c r="B7" s="120" t="s">
        <v>2</v>
      </c>
      <c r="C7" s="120"/>
      <c r="D7" s="121" t="s">
        <v>3</v>
      </c>
      <c r="E7" s="121"/>
      <c r="F7" s="2" t="s">
        <v>4</v>
      </c>
      <c r="G7" s="122">
        <v>46234</v>
      </c>
      <c r="H7" s="122"/>
      <c r="I7" s="1"/>
      <c r="J7" s="1"/>
      <c r="K7" s="1"/>
      <c r="L7" s="1"/>
      <c r="M7" s="1"/>
      <c r="N7" s="1"/>
      <c r="O7" s="1"/>
    </row>
    <row r="8" spans="1:15" ht="30" customHeight="1">
      <c r="A8" s="1"/>
      <c r="B8" s="127"/>
      <c r="C8" s="128" t="s">
        <v>5</v>
      </c>
      <c r="D8" s="129" t="s">
        <v>6</v>
      </c>
      <c r="E8" s="130" t="s">
        <v>7</v>
      </c>
      <c r="F8" s="131" t="s">
        <v>8</v>
      </c>
      <c r="G8" s="123" t="s">
        <v>9</v>
      </c>
      <c r="H8" s="123"/>
      <c r="I8" s="1"/>
      <c r="J8" s="1"/>
      <c r="K8" s="1"/>
      <c r="L8" s="1"/>
      <c r="M8" s="1"/>
      <c r="N8" s="1"/>
      <c r="O8" s="1"/>
    </row>
    <row r="9" spans="1:15" ht="54" customHeight="1">
      <c r="A9" s="1"/>
      <c r="B9" s="127"/>
      <c r="C9" s="128"/>
      <c r="D9" s="129"/>
      <c r="E9" s="129"/>
      <c r="F9" s="129"/>
      <c r="G9" s="3" t="s">
        <v>10</v>
      </c>
      <c r="H9" s="4" t="s">
        <v>11</v>
      </c>
      <c r="I9" s="1"/>
      <c r="J9" s="1"/>
      <c r="K9" s="1"/>
      <c r="L9" s="1"/>
      <c r="M9" s="1"/>
      <c r="N9" s="1"/>
      <c r="O9" s="1"/>
    </row>
    <row r="10" spans="1:15" ht="24" customHeight="1">
      <c r="A10" s="1"/>
      <c r="B10" s="124" t="s">
        <v>12</v>
      </c>
      <c r="C10" s="124"/>
      <c r="D10" s="5"/>
      <c r="E10" s="6" t="s">
        <v>13</v>
      </c>
      <c r="F10" s="7" t="s">
        <v>14</v>
      </c>
      <c r="G10" s="8" t="s">
        <v>13</v>
      </c>
      <c r="H10" s="9" t="s">
        <v>13</v>
      </c>
      <c r="I10" s="1"/>
      <c r="J10" s="1"/>
      <c r="K10" s="1"/>
      <c r="L10" s="1"/>
      <c r="M10" s="1"/>
      <c r="N10" s="114"/>
      <c r="O10" s="1"/>
    </row>
    <row r="11" spans="1:15" ht="18">
      <c r="A11" s="1"/>
      <c r="B11" s="10">
        <v>1</v>
      </c>
      <c r="C11" s="11" t="s">
        <v>15</v>
      </c>
      <c r="D11" s="12">
        <v>85</v>
      </c>
      <c r="E11" s="13">
        <v>84</v>
      </c>
      <c r="F11" s="14">
        <f t="shared" ref="F11:F23" si="0">D11*E11</f>
        <v>7140</v>
      </c>
      <c r="G11" s="15">
        <v>0</v>
      </c>
      <c r="H11" s="16">
        <v>0</v>
      </c>
      <c r="I11" s="1"/>
      <c r="J11" s="1"/>
      <c r="K11" s="1"/>
      <c r="L11" s="1"/>
      <c r="M11" s="1"/>
      <c r="N11" s="1"/>
      <c r="O11" s="17"/>
    </row>
    <row r="12" spans="1:15" ht="18">
      <c r="A12" s="1"/>
      <c r="B12" s="18">
        <v>2</v>
      </c>
      <c r="C12" s="19" t="s">
        <v>16</v>
      </c>
      <c r="D12" s="20">
        <v>185</v>
      </c>
      <c r="E12" s="13">
        <v>21</v>
      </c>
      <c r="F12" s="21">
        <f t="shared" si="0"/>
        <v>3885</v>
      </c>
      <c r="G12" s="15">
        <v>0</v>
      </c>
      <c r="H12" s="23">
        <v>0</v>
      </c>
      <c r="I12" s="1"/>
      <c r="J12" s="1"/>
      <c r="K12" s="1"/>
      <c r="L12" s="1"/>
      <c r="M12" s="1"/>
      <c r="N12" s="1"/>
      <c r="O12" s="1"/>
    </row>
    <row r="13" spans="1:15" ht="18">
      <c r="A13" s="1"/>
      <c r="B13" s="18">
        <v>3</v>
      </c>
      <c r="C13" s="19" t="s">
        <v>17</v>
      </c>
      <c r="D13" s="20">
        <v>175</v>
      </c>
      <c r="E13" s="13">
        <v>27</v>
      </c>
      <c r="F13" s="21">
        <f t="shared" si="0"/>
        <v>4725</v>
      </c>
      <c r="G13" s="15">
        <v>0</v>
      </c>
      <c r="H13" s="23">
        <v>0</v>
      </c>
      <c r="I13" s="1"/>
      <c r="J13" s="1"/>
      <c r="K13" s="1"/>
      <c r="L13" s="1"/>
      <c r="M13" s="1"/>
      <c r="N13" s="1"/>
      <c r="O13" s="1"/>
    </row>
    <row r="14" spans="1:15" ht="18">
      <c r="A14" s="1"/>
      <c r="B14" s="18">
        <v>4</v>
      </c>
      <c r="C14" s="19" t="s">
        <v>18</v>
      </c>
      <c r="D14" s="20">
        <v>100</v>
      </c>
      <c r="E14" s="13">
        <v>17</v>
      </c>
      <c r="F14" s="21">
        <f t="shared" si="0"/>
        <v>1700</v>
      </c>
      <c r="G14" s="15">
        <v>0</v>
      </c>
      <c r="H14" s="23">
        <v>0</v>
      </c>
      <c r="I14" s="1"/>
      <c r="J14" s="1"/>
      <c r="K14" s="1"/>
      <c r="L14" s="1"/>
      <c r="M14" s="1"/>
      <c r="N14" s="1"/>
      <c r="O14" s="1"/>
    </row>
    <row r="15" spans="1:15" ht="18">
      <c r="A15" s="1"/>
      <c r="B15" s="18">
        <v>5</v>
      </c>
      <c r="C15" s="19" t="s">
        <v>19</v>
      </c>
      <c r="D15" s="20">
        <v>65</v>
      </c>
      <c r="E15" s="13">
        <v>2</v>
      </c>
      <c r="F15" s="21">
        <f t="shared" si="0"/>
        <v>130</v>
      </c>
      <c r="G15" s="15">
        <v>0</v>
      </c>
      <c r="H15" s="23">
        <v>0</v>
      </c>
      <c r="I15" s="1"/>
      <c r="J15" s="1"/>
      <c r="K15" s="1"/>
      <c r="L15" s="1"/>
      <c r="M15" s="1"/>
      <c r="N15" s="1"/>
      <c r="O15" s="1"/>
    </row>
    <row r="16" spans="1:15" ht="18">
      <c r="A16" s="1"/>
      <c r="B16" s="18">
        <v>6</v>
      </c>
      <c r="C16" s="19" t="s">
        <v>20</v>
      </c>
      <c r="D16" s="20">
        <v>70</v>
      </c>
      <c r="E16" s="13">
        <v>9</v>
      </c>
      <c r="F16" s="21">
        <f t="shared" si="0"/>
        <v>630</v>
      </c>
      <c r="G16" s="15">
        <v>0</v>
      </c>
      <c r="H16" s="23">
        <v>0</v>
      </c>
      <c r="I16" s="1"/>
      <c r="J16" s="1"/>
      <c r="K16" s="1"/>
      <c r="L16" s="1"/>
      <c r="M16" s="1"/>
      <c r="N16" s="1"/>
      <c r="O16" s="1"/>
    </row>
    <row r="17" spans="1:15" ht="18">
      <c r="A17" s="1"/>
      <c r="B17" s="18">
        <v>7</v>
      </c>
      <c r="C17" s="19" t="s">
        <v>21</v>
      </c>
      <c r="D17" s="20">
        <v>65</v>
      </c>
      <c r="E17" s="13">
        <v>4</v>
      </c>
      <c r="F17" s="21">
        <f t="shared" si="0"/>
        <v>260</v>
      </c>
      <c r="G17" s="15">
        <v>0</v>
      </c>
      <c r="H17" s="23">
        <v>0</v>
      </c>
      <c r="I17" s="1"/>
      <c r="J17" s="1"/>
      <c r="K17" s="1"/>
      <c r="L17" s="1"/>
      <c r="M17" s="1"/>
      <c r="N17" s="1"/>
      <c r="O17" s="1"/>
    </row>
    <row r="18" spans="1:15" ht="18">
      <c r="A18" s="1"/>
      <c r="B18" s="24">
        <v>8</v>
      </c>
      <c r="C18" s="25" t="s">
        <v>22</v>
      </c>
      <c r="D18" s="20">
        <v>25</v>
      </c>
      <c r="E18" s="13">
        <v>15</v>
      </c>
      <c r="F18" s="21">
        <f t="shared" si="0"/>
        <v>375</v>
      </c>
      <c r="G18" s="15">
        <v>0</v>
      </c>
      <c r="H18" s="23">
        <v>0</v>
      </c>
      <c r="I18" s="1"/>
      <c r="J18" s="1"/>
      <c r="K18" s="1"/>
      <c r="L18" s="1"/>
      <c r="M18" s="1"/>
      <c r="N18" s="1"/>
      <c r="O18" s="1"/>
    </row>
    <row r="19" spans="1:15" ht="18">
      <c r="A19" s="1"/>
      <c r="B19" s="24">
        <v>9</v>
      </c>
      <c r="C19" s="25" t="s">
        <v>23</v>
      </c>
      <c r="D19" s="20">
        <v>0</v>
      </c>
      <c r="E19" s="13">
        <v>0</v>
      </c>
      <c r="F19" s="21">
        <f t="shared" si="0"/>
        <v>0</v>
      </c>
      <c r="G19" s="15">
        <v>0</v>
      </c>
      <c r="H19" s="23">
        <v>0</v>
      </c>
      <c r="I19" s="1"/>
      <c r="J19" s="1"/>
      <c r="K19" s="1"/>
      <c r="L19" s="1"/>
      <c r="M19" s="1"/>
      <c r="N19" s="1"/>
      <c r="O19" s="1"/>
    </row>
    <row r="20" spans="1:15" ht="18">
      <c r="A20" s="1"/>
      <c r="B20" s="26">
        <v>10</v>
      </c>
      <c r="C20" s="27" t="s">
        <v>24</v>
      </c>
      <c r="D20" s="20">
        <v>0</v>
      </c>
      <c r="E20" s="13">
        <v>0</v>
      </c>
      <c r="F20" s="21">
        <f t="shared" si="0"/>
        <v>0</v>
      </c>
      <c r="G20" s="15">
        <v>0</v>
      </c>
      <c r="H20" s="23">
        <v>0</v>
      </c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26">
        <v>11</v>
      </c>
      <c r="C21" s="27" t="s">
        <v>25</v>
      </c>
      <c r="D21" s="20">
        <v>0</v>
      </c>
      <c r="E21" s="13">
        <v>0</v>
      </c>
      <c r="F21" s="21">
        <f t="shared" si="0"/>
        <v>0</v>
      </c>
      <c r="G21" s="15">
        <v>0</v>
      </c>
      <c r="H21" s="23">
        <v>0</v>
      </c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26">
        <v>12</v>
      </c>
      <c r="C22" s="27" t="s">
        <v>26</v>
      </c>
      <c r="D22" s="20">
        <v>0</v>
      </c>
      <c r="E22" s="13">
        <v>0</v>
      </c>
      <c r="F22" s="21">
        <f t="shared" si="0"/>
        <v>0</v>
      </c>
      <c r="G22" s="15">
        <v>0</v>
      </c>
      <c r="H22" s="23">
        <v>0</v>
      </c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28">
        <v>13</v>
      </c>
      <c r="C23" s="29" t="s">
        <v>27</v>
      </c>
      <c r="D23" s="20">
        <v>0</v>
      </c>
      <c r="E23" s="13">
        <v>0</v>
      </c>
      <c r="F23" s="21">
        <f t="shared" si="0"/>
        <v>0</v>
      </c>
      <c r="G23" s="15">
        <v>0</v>
      </c>
      <c r="H23" s="23">
        <v>0</v>
      </c>
      <c r="I23" s="1"/>
      <c r="J23" s="1"/>
      <c r="K23" s="1"/>
      <c r="L23" s="1"/>
      <c r="M23" s="1"/>
      <c r="N23" s="1"/>
      <c r="O23" s="1"/>
    </row>
    <row r="24" spans="1:15" ht="30" customHeight="1">
      <c r="A24" s="1"/>
      <c r="B24" s="125" t="s">
        <v>28</v>
      </c>
      <c r="C24" s="125"/>
      <c r="D24" s="30"/>
      <c r="E24" s="13">
        <v>0</v>
      </c>
      <c r="F24" s="30">
        <f>SUM(F11:F23)</f>
        <v>18845</v>
      </c>
      <c r="G24" s="22"/>
      <c r="H24" s="23">
        <v>0</v>
      </c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31"/>
      <c r="D25" s="32"/>
      <c r="E25" s="13">
        <v>0</v>
      </c>
      <c r="F25" s="32"/>
      <c r="G25" s="32"/>
      <c r="H25" s="32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26" t="s">
        <v>29</v>
      </c>
      <c r="C26" s="126"/>
      <c r="D26" s="32"/>
      <c r="E26" s="32"/>
      <c r="F26" s="32"/>
      <c r="G26" s="32"/>
      <c r="H26" s="32"/>
      <c r="I26" s="1"/>
      <c r="J26" s="1"/>
      <c r="K26" s="1"/>
      <c r="L26" s="1"/>
      <c r="M26" s="1"/>
      <c r="N26" s="1"/>
      <c r="O26" s="1"/>
    </row>
    <row r="27" spans="1:15" ht="15.75" customHeight="1">
      <c r="A27" s="1"/>
      <c r="B27" s="33">
        <v>1</v>
      </c>
      <c r="C27" s="34" t="s">
        <v>30</v>
      </c>
      <c r="D27" s="20">
        <v>5</v>
      </c>
      <c r="E27" s="35">
        <v>145</v>
      </c>
      <c r="F27" s="21">
        <f t="shared" ref="F27:F51" si="1">D27*E27</f>
        <v>725</v>
      </c>
      <c r="G27" s="22">
        <v>0</v>
      </c>
      <c r="H27" s="23">
        <v>0</v>
      </c>
      <c r="I27" s="1"/>
      <c r="J27" s="1"/>
      <c r="K27" s="1"/>
      <c r="L27" s="1"/>
      <c r="M27" s="1"/>
      <c r="N27" s="1"/>
      <c r="O27" s="1"/>
    </row>
    <row r="28" spans="1:15" ht="15.75" customHeight="1">
      <c r="A28" s="1"/>
      <c r="B28" s="36">
        <v>2</v>
      </c>
      <c r="C28" s="37" t="s">
        <v>31</v>
      </c>
      <c r="D28" s="20">
        <v>5</v>
      </c>
      <c r="E28" s="35">
        <v>64</v>
      </c>
      <c r="F28" s="21">
        <f t="shared" si="1"/>
        <v>320</v>
      </c>
      <c r="G28" s="22">
        <v>0</v>
      </c>
      <c r="H28" s="23">
        <v>0</v>
      </c>
      <c r="I28" s="1"/>
      <c r="J28" s="1"/>
      <c r="K28" s="1"/>
      <c r="L28" s="1"/>
      <c r="M28" s="1"/>
      <c r="N28" s="1"/>
      <c r="O28" s="1"/>
    </row>
    <row r="29" spans="1:15" ht="15.75" customHeight="1">
      <c r="A29" s="1"/>
      <c r="B29" s="33">
        <v>3</v>
      </c>
      <c r="C29" s="37" t="s">
        <v>32</v>
      </c>
      <c r="D29" s="20">
        <v>5</v>
      </c>
      <c r="E29" s="35">
        <v>99</v>
      </c>
      <c r="F29" s="21">
        <f t="shared" si="1"/>
        <v>495</v>
      </c>
      <c r="G29" s="22">
        <v>0</v>
      </c>
      <c r="H29" s="23">
        <v>0</v>
      </c>
      <c r="I29" s="1"/>
      <c r="J29" s="1"/>
      <c r="K29" s="1"/>
      <c r="L29" s="1"/>
      <c r="M29" s="1"/>
      <c r="N29" s="1"/>
      <c r="O29" s="1"/>
    </row>
    <row r="30" spans="1:15" ht="15.75" customHeight="1">
      <c r="A30" s="1"/>
      <c r="B30" s="36">
        <v>4</v>
      </c>
      <c r="C30" s="37" t="s">
        <v>33</v>
      </c>
      <c r="D30" s="20">
        <v>5</v>
      </c>
      <c r="E30" s="35">
        <v>0</v>
      </c>
      <c r="F30" s="21">
        <f t="shared" si="1"/>
        <v>0</v>
      </c>
      <c r="G30" s="22">
        <v>0</v>
      </c>
      <c r="H30" s="23">
        <v>0</v>
      </c>
      <c r="I30" s="1"/>
      <c r="J30" s="1"/>
      <c r="K30" s="1"/>
      <c r="L30" s="1"/>
      <c r="M30" s="1"/>
      <c r="N30" s="1"/>
      <c r="O30" s="1"/>
    </row>
    <row r="31" spans="1:15" ht="15.75" customHeight="1">
      <c r="A31" s="1"/>
      <c r="B31" s="33">
        <v>5</v>
      </c>
      <c r="C31" s="37" t="s">
        <v>34</v>
      </c>
      <c r="D31" s="20">
        <v>5</v>
      </c>
      <c r="E31" s="35">
        <v>135</v>
      </c>
      <c r="F31" s="21">
        <f t="shared" si="1"/>
        <v>675</v>
      </c>
      <c r="G31" s="22">
        <v>0</v>
      </c>
      <c r="H31" s="23">
        <v>0</v>
      </c>
      <c r="I31" s="1"/>
      <c r="J31" s="1"/>
      <c r="K31" s="1"/>
      <c r="L31" s="1"/>
      <c r="M31" s="1"/>
      <c r="N31" s="1"/>
      <c r="O31" s="1"/>
    </row>
    <row r="32" spans="1:15" ht="15.75" customHeight="1">
      <c r="A32" s="1"/>
      <c r="B32" s="36">
        <v>6</v>
      </c>
      <c r="C32" s="37" t="s">
        <v>35</v>
      </c>
      <c r="D32" s="20">
        <v>5</v>
      </c>
      <c r="E32" s="35">
        <v>0</v>
      </c>
      <c r="F32" s="21">
        <f t="shared" si="1"/>
        <v>0</v>
      </c>
      <c r="G32" s="22">
        <v>0</v>
      </c>
      <c r="H32" s="23">
        <v>0</v>
      </c>
      <c r="I32" s="1"/>
      <c r="J32" s="1"/>
      <c r="K32" s="1"/>
      <c r="L32" s="1"/>
      <c r="M32" s="1"/>
      <c r="N32" s="1"/>
      <c r="O32" s="1"/>
    </row>
    <row r="33" spans="1:15" ht="15.75" customHeight="1">
      <c r="A33" s="1"/>
      <c r="B33" s="33">
        <v>7</v>
      </c>
      <c r="C33" s="37" t="s">
        <v>36</v>
      </c>
      <c r="D33" s="20">
        <v>5</v>
      </c>
      <c r="E33" s="35">
        <v>1</v>
      </c>
      <c r="F33" s="21">
        <f t="shared" si="1"/>
        <v>5</v>
      </c>
      <c r="G33" s="22">
        <v>0</v>
      </c>
      <c r="H33" s="23">
        <v>0</v>
      </c>
      <c r="I33" s="1"/>
      <c r="J33" s="1"/>
      <c r="K33" s="1"/>
      <c r="L33" s="1"/>
      <c r="M33" s="1"/>
      <c r="N33" s="1"/>
      <c r="O33" s="1"/>
    </row>
    <row r="34" spans="1:15" ht="15.75" customHeight="1">
      <c r="A34" s="1"/>
      <c r="B34" s="36">
        <v>8</v>
      </c>
      <c r="C34" s="37" t="s">
        <v>37</v>
      </c>
      <c r="D34" s="20">
        <v>5</v>
      </c>
      <c r="E34" s="35">
        <v>0</v>
      </c>
      <c r="F34" s="21">
        <f t="shared" si="1"/>
        <v>0</v>
      </c>
      <c r="G34" s="22">
        <v>0</v>
      </c>
      <c r="H34" s="23">
        <v>0</v>
      </c>
      <c r="I34" s="1"/>
      <c r="J34" s="1"/>
      <c r="K34" s="1"/>
      <c r="L34" s="1"/>
      <c r="M34" s="1"/>
      <c r="N34" s="1"/>
      <c r="O34" s="1"/>
    </row>
    <row r="35" spans="1:15" ht="15.75" customHeight="1">
      <c r="A35" s="1"/>
      <c r="B35" s="33">
        <v>9</v>
      </c>
      <c r="C35" s="37" t="s">
        <v>38</v>
      </c>
      <c r="D35" s="20">
        <v>5</v>
      </c>
      <c r="E35" s="35">
        <v>0</v>
      </c>
      <c r="F35" s="21">
        <f t="shared" si="1"/>
        <v>0</v>
      </c>
      <c r="G35" s="22">
        <v>0</v>
      </c>
      <c r="H35" s="23">
        <v>0</v>
      </c>
      <c r="I35" s="1"/>
      <c r="J35" s="1"/>
      <c r="K35" s="1"/>
      <c r="L35" s="1"/>
      <c r="M35" s="1"/>
      <c r="N35" s="1"/>
      <c r="O35" s="1"/>
    </row>
    <row r="36" spans="1:15" ht="15.75" customHeight="1">
      <c r="A36" s="1"/>
      <c r="B36" s="36">
        <v>10</v>
      </c>
      <c r="C36" s="37" t="s">
        <v>39</v>
      </c>
      <c r="D36" s="20">
        <v>5</v>
      </c>
      <c r="E36" s="35">
        <v>0</v>
      </c>
      <c r="F36" s="21">
        <f t="shared" si="1"/>
        <v>0</v>
      </c>
      <c r="G36" s="22">
        <v>0</v>
      </c>
      <c r="H36" s="23">
        <v>0</v>
      </c>
      <c r="I36" s="1"/>
      <c r="J36" s="1"/>
      <c r="K36" s="1"/>
      <c r="L36" s="1"/>
      <c r="M36" s="1"/>
      <c r="N36" s="1"/>
      <c r="O36" s="1"/>
    </row>
    <row r="37" spans="1:15" ht="15.75" customHeight="1">
      <c r="A37" s="1"/>
      <c r="B37" s="33">
        <v>11</v>
      </c>
      <c r="C37" s="37" t="s">
        <v>40</v>
      </c>
      <c r="D37" s="20">
        <v>5</v>
      </c>
      <c r="E37" s="35">
        <v>0</v>
      </c>
      <c r="F37" s="21">
        <f t="shared" si="1"/>
        <v>0</v>
      </c>
      <c r="G37" s="22">
        <v>0</v>
      </c>
      <c r="H37" s="23">
        <v>0</v>
      </c>
      <c r="I37" s="1"/>
      <c r="J37" s="1"/>
      <c r="K37" s="1"/>
      <c r="L37" s="1"/>
      <c r="M37" s="1"/>
      <c r="N37" s="1"/>
      <c r="O37" s="1"/>
    </row>
    <row r="38" spans="1:15" ht="15.75" customHeight="1">
      <c r="A38" s="1"/>
      <c r="B38" s="36">
        <v>12</v>
      </c>
      <c r="C38" s="38" t="s">
        <v>41</v>
      </c>
      <c r="D38" s="20">
        <v>5</v>
      </c>
      <c r="E38" s="35">
        <v>0</v>
      </c>
      <c r="F38" s="21">
        <f t="shared" si="1"/>
        <v>0</v>
      </c>
      <c r="G38" s="22">
        <v>0</v>
      </c>
      <c r="H38" s="23">
        <v>0</v>
      </c>
      <c r="I38" s="1"/>
      <c r="J38" s="1"/>
      <c r="K38" s="1"/>
      <c r="L38" s="1"/>
      <c r="M38" s="1"/>
      <c r="N38" s="1"/>
      <c r="O38" s="1"/>
    </row>
    <row r="39" spans="1:15" ht="15.75" customHeight="1">
      <c r="A39" s="1"/>
      <c r="B39" s="33">
        <v>13</v>
      </c>
      <c r="C39" s="37" t="s">
        <v>42</v>
      </c>
      <c r="D39" s="20">
        <v>5</v>
      </c>
      <c r="E39" s="35">
        <v>10</v>
      </c>
      <c r="F39" s="21">
        <f t="shared" si="1"/>
        <v>50</v>
      </c>
      <c r="G39" s="22">
        <v>0</v>
      </c>
      <c r="H39" s="23">
        <v>0</v>
      </c>
      <c r="I39" s="1"/>
      <c r="J39" s="1"/>
      <c r="K39" s="1"/>
      <c r="L39" s="1"/>
      <c r="M39" s="1"/>
      <c r="N39" s="1"/>
      <c r="O39" s="1"/>
    </row>
    <row r="40" spans="1:15" ht="15.75" customHeight="1">
      <c r="A40" s="1"/>
      <c r="B40" s="36">
        <v>14</v>
      </c>
      <c r="C40" s="37" t="s">
        <v>43</v>
      </c>
      <c r="D40" s="20">
        <v>5</v>
      </c>
      <c r="E40" s="35">
        <v>0</v>
      </c>
      <c r="F40" s="21">
        <f t="shared" si="1"/>
        <v>0</v>
      </c>
      <c r="G40" s="22">
        <v>0</v>
      </c>
      <c r="H40" s="23">
        <v>0</v>
      </c>
      <c r="I40" s="1"/>
      <c r="J40" s="1"/>
      <c r="K40" s="1"/>
      <c r="L40" s="1"/>
      <c r="M40" s="1"/>
      <c r="N40" s="1"/>
      <c r="O40" s="1"/>
    </row>
    <row r="41" spans="1:15" ht="15.75" customHeight="1">
      <c r="A41" s="1"/>
      <c r="B41" s="33">
        <v>15</v>
      </c>
      <c r="C41" s="37" t="s">
        <v>44</v>
      </c>
      <c r="D41" s="20">
        <v>5</v>
      </c>
      <c r="E41" s="35">
        <v>0</v>
      </c>
      <c r="F41" s="21">
        <f t="shared" si="1"/>
        <v>0</v>
      </c>
      <c r="G41" s="22">
        <v>0</v>
      </c>
      <c r="H41" s="23">
        <v>0</v>
      </c>
      <c r="I41" s="1"/>
      <c r="J41" s="1"/>
      <c r="K41" s="1"/>
      <c r="L41" s="1"/>
      <c r="M41" s="1"/>
      <c r="N41" s="1"/>
      <c r="O41" s="1"/>
    </row>
    <row r="42" spans="1:15" ht="15.75" customHeight="1">
      <c r="A42" s="1"/>
      <c r="B42" s="36">
        <v>16</v>
      </c>
      <c r="C42" s="37" t="s">
        <v>45</v>
      </c>
      <c r="D42" s="20">
        <v>5</v>
      </c>
      <c r="E42" s="35">
        <v>0</v>
      </c>
      <c r="F42" s="21">
        <f t="shared" si="1"/>
        <v>0</v>
      </c>
      <c r="G42" s="22">
        <v>0</v>
      </c>
      <c r="H42" s="23">
        <v>0</v>
      </c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33">
        <v>17</v>
      </c>
      <c r="C43" s="37" t="s">
        <v>46</v>
      </c>
      <c r="D43" s="20">
        <v>5</v>
      </c>
      <c r="E43" s="35">
        <v>0</v>
      </c>
      <c r="F43" s="21">
        <f t="shared" si="1"/>
        <v>0</v>
      </c>
      <c r="G43" s="22">
        <v>0</v>
      </c>
      <c r="H43" s="23">
        <v>0</v>
      </c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36">
        <v>18</v>
      </c>
      <c r="C44" s="39" t="s">
        <v>47</v>
      </c>
      <c r="D44" s="20">
        <v>5</v>
      </c>
      <c r="E44" s="35">
        <v>0</v>
      </c>
      <c r="F44" s="21">
        <f t="shared" si="1"/>
        <v>0</v>
      </c>
      <c r="G44" s="22">
        <v>0</v>
      </c>
      <c r="H44" s="23">
        <v>0</v>
      </c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33">
        <v>19</v>
      </c>
      <c r="C45" s="39" t="s">
        <v>48</v>
      </c>
      <c r="D45" s="20">
        <v>5</v>
      </c>
      <c r="E45" s="35">
        <v>0</v>
      </c>
      <c r="F45" s="21">
        <f t="shared" si="1"/>
        <v>0</v>
      </c>
      <c r="G45" s="22">
        <v>0</v>
      </c>
      <c r="H45" s="23">
        <v>0</v>
      </c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36">
        <v>20</v>
      </c>
      <c r="C46" s="39" t="s">
        <v>49</v>
      </c>
      <c r="D46" s="20">
        <v>5</v>
      </c>
      <c r="E46" s="35">
        <v>0</v>
      </c>
      <c r="F46" s="21">
        <f t="shared" si="1"/>
        <v>0</v>
      </c>
      <c r="G46" s="22">
        <v>0</v>
      </c>
      <c r="H46" s="23">
        <v>0</v>
      </c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33">
        <v>21</v>
      </c>
      <c r="C47" s="39" t="s">
        <v>50</v>
      </c>
      <c r="D47" s="20">
        <v>5</v>
      </c>
      <c r="E47" s="35">
        <v>0</v>
      </c>
      <c r="F47" s="21">
        <f t="shared" si="1"/>
        <v>0</v>
      </c>
      <c r="G47" s="22">
        <v>0</v>
      </c>
      <c r="H47" s="23">
        <v>0</v>
      </c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36">
        <v>22</v>
      </c>
      <c r="C48" s="39" t="s">
        <v>51</v>
      </c>
      <c r="D48" s="20">
        <v>5</v>
      </c>
      <c r="E48" s="35">
        <v>0</v>
      </c>
      <c r="F48" s="21">
        <f t="shared" si="1"/>
        <v>0</v>
      </c>
      <c r="G48" s="22">
        <v>0</v>
      </c>
      <c r="H48" s="23">
        <v>0</v>
      </c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33">
        <v>23</v>
      </c>
      <c r="C49" s="39" t="s">
        <v>52</v>
      </c>
      <c r="D49" s="20">
        <v>5</v>
      </c>
      <c r="E49" s="35">
        <v>0</v>
      </c>
      <c r="F49" s="21">
        <f t="shared" si="1"/>
        <v>0</v>
      </c>
      <c r="G49" s="22">
        <v>0</v>
      </c>
      <c r="H49" s="23">
        <v>0</v>
      </c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36">
        <v>24</v>
      </c>
      <c r="C50" s="37" t="s">
        <v>53</v>
      </c>
      <c r="D50" s="20">
        <v>5</v>
      </c>
      <c r="E50" s="35">
        <v>0</v>
      </c>
      <c r="F50" s="21">
        <f t="shared" si="1"/>
        <v>0</v>
      </c>
      <c r="G50" s="22">
        <v>0</v>
      </c>
      <c r="H50" s="23">
        <v>0</v>
      </c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40">
        <v>25</v>
      </c>
      <c r="C51" s="41" t="s">
        <v>54</v>
      </c>
      <c r="D51" s="20">
        <v>5</v>
      </c>
      <c r="E51" s="35">
        <v>0</v>
      </c>
      <c r="F51" s="21">
        <f t="shared" si="1"/>
        <v>0</v>
      </c>
      <c r="G51" s="22">
        <v>0</v>
      </c>
      <c r="H51" s="23">
        <v>0</v>
      </c>
      <c r="I51" s="1"/>
      <c r="J51" s="1"/>
      <c r="K51" s="1"/>
      <c r="L51" s="1"/>
      <c r="M51" s="1"/>
      <c r="N51" s="1"/>
      <c r="O51" s="1"/>
    </row>
    <row r="52" spans="1:15" ht="30" customHeight="1">
      <c r="A52" s="1"/>
      <c r="B52" s="125" t="s">
        <v>55</v>
      </c>
      <c r="C52" s="125"/>
      <c r="D52" s="30"/>
      <c r="E52" s="30">
        <v>0</v>
      </c>
      <c r="F52" s="30">
        <f>SUM(F25:F51)</f>
        <v>2270</v>
      </c>
      <c r="G52" s="22"/>
      <c r="H52" s="23">
        <v>0</v>
      </c>
      <c r="I52" s="42"/>
      <c r="J52" s="42"/>
      <c r="K52" s="42"/>
      <c r="L52" s="42"/>
      <c r="M52" s="42"/>
      <c r="N52" s="42"/>
      <c r="O52" s="42"/>
    </row>
    <row r="53" spans="1:15" ht="15.75" customHeight="1">
      <c r="A53" s="1"/>
      <c r="B53" s="1"/>
      <c r="C53" s="31"/>
      <c r="D53" s="32"/>
      <c r="E53" s="32"/>
      <c r="F53" s="32"/>
      <c r="G53" s="32"/>
      <c r="H53" s="32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26" t="s">
        <v>56</v>
      </c>
      <c r="C54" s="126"/>
      <c r="D54" s="32"/>
      <c r="E54" s="32"/>
      <c r="F54" s="32"/>
      <c r="G54" s="32"/>
      <c r="H54" s="32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43">
        <v>1</v>
      </c>
      <c r="C55" s="44" t="s">
        <v>57</v>
      </c>
      <c r="D55" s="45">
        <v>25</v>
      </c>
      <c r="E55" s="35">
        <v>73</v>
      </c>
      <c r="F55" s="21">
        <f t="shared" ref="F55:F63" si="2">D55*E55</f>
        <v>1825</v>
      </c>
      <c r="G55" s="22">
        <v>0</v>
      </c>
      <c r="H55" s="23">
        <v>0</v>
      </c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46">
        <v>2</v>
      </c>
      <c r="C56" s="47" t="s">
        <v>58</v>
      </c>
      <c r="D56" s="45">
        <v>25</v>
      </c>
      <c r="E56" s="35">
        <v>42</v>
      </c>
      <c r="F56" s="21">
        <f t="shared" si="2"/>
        <v>1050</v>
      </c>
      <c r="G56" s="22">
        <v>0</v>
      </c>
      <c r="H56" s="23">
        <v>0</v>
      </c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48">
        <v>3</v>
      </c>
      <c r="C57" s="49" t="s">
        <v>59</v>
      </c>
      <c r="D57" s="45">
        <v>25</v>
      </c>
      <c r="E57" s="35">
        <v>60</v>
      </c>
      <c r="F57" s="21">
        <f t="shared" si="2"/>
        <v>1500</v>
      </c>
      <c r="G57" s="22">
        <v>0</v>
      </c>
      <c r="H57" s="23">
        <v>0</v>
      </c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50">
        <v>4</v>
      </c>
      <c r="C58" s="51" t="s">
        <v>60</v>
      </c>
      <c r="D58" s="45">
        <v>25</v>
      </c>
      <c r="E58" s="35">
        <v>60</v>
      </c>
      <c r="F58" s="21">
        <f t="shared" si="2"/>
        <v>1500</v>
      </c>
      <c r="G58" s="22">
        <v>0</v>
      </c>
      <c r="H58" s="23">
        <v>0</v>
      </c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52">
        <v>5</v>
      </c>
      <c r="C59" s="53" t="s">
        <v>61</v>
      </c>
      <c r="D59" s="45">
        <v>25</v>
      </c>
      <c r="E59" s="35">
        <v>50</v>
      </c>
      <c r="F59" s="21">
        <f t="shared" si="2"/>
        <v>1250</v>
      </c>
      <c r="G59" s="22">
        <v>0</v>
      </c>
      <c r="H59" s="23">
        <v>0</v>
      </c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54">
        <v>6</v>
      </c>
      <c r="C60" s="55" t="s">
        <v>62</v>
      </c>
      <c r="D60" s="45">
        <v>25</v>
      </c>
      <c r="E60" s="35">
        <v>42</v>
      </c>
      <c r="F60" s="21">
        <f t="shared" si="2"/>
        <v>1050</v>
      </c>
      <c r="G60" s="22">
        <v>0</v>
      </c>
      <c r="H60" s="23">
        <v>0</v>
      </c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56">
        <v>7</v>
      </c>
      <c r="C61" s="57" t="s">
        <v>63</v>
      </c>
      <c r="D61" s="45">
        <v>25</v>
      </c>
      <c r="E61" s="35">
        <v>56</v>
      </c>
      <c r="F61" s="21">
        <f t="shared" si="2"/>
        <v>1400</v>
      </c>
      <c r="G61" s="22">
        <v>0</v>
      </c>
      <c r="H61" s="23">
        <v>0</v>
      </c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58">
        <v>8</v>
      </c>
      <c r="C62" s="59" t="s">
        <v>64</v>
      </c>
      <c r="D62" s="45">
        <v>25</v>
      </c>
      <c r="E62" s="35">
        <v>32</v>
      </c>
      <c r="F62" s="21">
        <f t="shared" si="2"/>
        <v>800</v>
      </c>
      <c r="G62" s="22">
        <v>0</v>
      </c>
      <c r="H62" s="23">
        <v>0</v>
      </c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60">
        <v>9</v>
      </c>
      <c r="C63" s="61" t="s">
        <v>65</v>
      </c>
      <c r="D63" s="45">
        <v>25</v>
      </c>
      <c r="E63" s="35">
        <v>152</v>
      </c>
      <c r="F63" s="21">
        <f t="shared" si="2"/>
        <v>3800</v>
      </c>
      <c r="G63" s="22">
        <v>0</v>
      </c>
      <c r="H63" s="23">
        <v>0</v>
      </c>
      <c r="I63" s="1"/>
      <c r="J63" s="1"/>
      <c r="K63" s="1"/>
      <c r="L63" s="1"/>
      <c r="M63" s="1"/>
      <c r="N63" s="1"/>
      <c r="O63" s="1"/>
    </row>
    <row r="64" spans="1:15" ht="30" customHeight="1">
      <c r="A64" s="1"/>
      <c r="B64" s="125" t="s">
        <v>66</v>
      </c>
      <c r="C64" s="125"/>
      <c r="D64" s="62"/>
      <c r="E64" s="63">
        <v>0</v>
      </c>
      <c r="F64" s="30">
        <f>SUM(F53:F63)</f>
        <v>14175</v>
      </c>
      <c r="G64" s="22"/>
      <c r="H64" s="23">
        <v>0</v>
      </c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64"/>
      <c r="C65" s="65"/>
      <c r="D65" s="32"/>
      <c r="E65" s="32"/>
      <c r="F65" s="32"/>
      <c r="G65" s="32"/>
      <c r="H65" s="32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32" t="s">
        <v>67</v>
      </c>
      <c r="C66" s="132"/>
      <c r="D66" s="32"/>
      <c r="E66" s="32"/>
      <c r="F66" s="32"/>
      <c r="G66" s="32"/>
      <c r="H66" s="32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66">
        <v>1</v>
      </c>
      <c r="C67" s="34" t="s">
        <v>68</v>
      </c>
      <c r="D67" s="115">
        <v>620</v>
      </c>
      <c r="E67" s="35">
        <v>1</v>
      </c>
      <c r="F67" s="21">
        <f t="shared" ref="F67:F87" si="3">D67*E67</f>
        <v>620</v>
      </c>
      <c r="G67" s="22"/>
      <c r="H67" s="23">
        <v>0</v>
      </c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67">
        <v>2</v>
      </c>
      <c r="C68" s="37" t="s">
        <v>69</v>
      </c>
      <c r="D68" s="115">
        <v>620</v>
      </c>
      <c r="E68" s="35">
        <v>0</v>
      </c>
      <c r="F68" s="21">
        <f t="shared" si="3"/>
        <v>0</v>
      </c>
      <c r="G68" s="22"/>
      <c r="H68" s="23">
        <v>0</v>
      </c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67">
        <v>3</v>
      </c>
      <c r="C69" s="37" t="s">
        <v>70</v>
      </c>
      <c r="D69" s="116">
        <v>1300</v>
      </c>
      <c r="E69" s="35">
        <v>0</v>
      </c>
      <c r="F69" s="21">
        <f t="shared" si="3"/>
        <v>0</v>
      </c>
      <c r="G69" s="22"/>
      <c r="H69" s="23">
        <v>0</v>
      </c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68">
        <v>4</v>
      </c>
      <c r="C70" s="69" t="s">
        <v>71</v>
      </c>
      <c r="D70" s="116">
        <v>575</v>
      </c>
      <c r="E70" s="35">
        <v>0</v>
      </c>
      <c r="F70" s="21">
        <f t="shared" si="3"/>
        <v>0</v>
      </c>
      <c r="G70" s="22"/>
      <c r="H70" s="23">
        <v>0</v>
      </c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68">
        <v>5</v>
      </c>
      <c r="C71" s="69" t="s">
        <v>72</v>
      </c>
      <c r="D71" s="116">
        <v>600</v>
      </c>
      <c r="E71" s="35">
        <v>0</v>
      </c>
      <c r="F71" s="21">
        <f t="shared" si="3"/>
        <v>0</v>
      </c>
      <c r="G71" s="22"/>
      <c r="H71" s="23">
        <v>0</v>
      </c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68">
        <v>6</v>
      </c>
      <c r="C72" s="69" t="s">
        <v>73</v>
      </c>
      <c r="D72" s="116">
        <v>1335</v>
      </c>
      <c r="E72" s="35">
        <v>0</v>
      </c>
      <c r="F72" s="21">
        <f t="shared" si="3"/>
        <v>0</v>
      </c>
      <c r="G72" s="22"/>
      <c r="H72" s="23">
        <v>0</v>
      </c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70">
        <v>7</v>
      </c>
      <c r="C73" s="71" t="s">
        <v>74</v>
      </c>
      <c r="D73" s="116">
        <v>490</v>
      </c>
      <c r="E73" s="35">
        <v>1</v>
      </c>
      <c r="F73" s="21">
        <f t="shared" si="3"/>
        <v>490</v>
      </c>
      <c r="G73" s="22"/>
      <c r="H73" s="23">
        <v>0</v>
      </c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70">
        <v>8</v>
      </c>
      <c r="C74" s="71" t="s">
        <v>75</v>
      </c>
      <c r="D74" s="116">
        <v>510</v>
      </c>
      <c r="E74" s="35">
        <v>0</v>
      </c>
      <c r="F74" s="21">
        <f t="shared" si="3"/>
        <v>0</v>
      </c>
      <c r="G74" s="22"/>
      <c r="H74" s="23">
        <v>0</v>
      </c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72">
        <v>9</v>
      </c>
      <c r="C75" s="73" t="s">
        <v>76</v>
      </c>
      <c r="D75" s="116">
        <v>575</v>
      </c>
      <c r="E75" s="35">
        <v>0</v>
      </c>
      <c r="F75" s="21">
        <f t="shared" si="3"/>
        <v>0</v>
      </c>
      <c r="G75" s="22"/>
      <c r="H75" s="23">
        <v>0</v>
      </c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72">
        <v>10</v>
      </c>
      <c r="C76" s="73" t="s">
        <v>77</v>
      </c>
      <c r="D76" s="116">
        <v>1130</v>
      </c>
      <c r="E76" s="35">
        <v>0</v>
      </c>
      <c r="F76" s="21">
        <f t="shared" si="3"/>
        <v>0</v>
      </c>
      <c r="G76" s="22"/>
      <c r="H76" s="23">
        <v>0</v>
      </c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74">
        <v>11</v>
      </c>
      <c r="C77" s="75" t="s">
        <v>78</v>
      </c>
      <c r="D77" s="116">
        <v>460</v>
      </c>
      <c r="E77" s="35">
        <v>1</v>
      </c>
      <c r="F77" s="21">
        <f t="shared" si="3"/>
        <v>460</v>
      </c>
      <c r="G77" s="22"/>
      <c r="H77" s="23">
        <v>0</v>
      </c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74">
        <v>12</v>
      </c>
      <c r="C78" s="75" t="s">
        <v>79</v>
      </c>
      <c r="D78" s="116">
        <v>95</v>
      </c>
      <c r="E78" s="35">
        <v>10</v>
      </c>
      <c r="F78" s="21">
        <f t="shared" si="3"/>
        <v>950</v>
      </c>
      <c r="G78" s="22"/>
      <c r="H78" s="23">
        <v>0</v>
      </c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76">
        <v>13</v>
      </c>
      <c r="C79" s="77" t="s">
        <v>80</v>
      </c>
      <c r="D79" s="116">
        <v>630</v>
      </c>
      <c r="E79" s="35">
        <v>1</v>
      </c>
      <c r="F79" s="21">
        <f t="shared" si="3"/>
        <v>630</v>
      </c>
      <c r="G79" s="22"/>
      <c r="H79" s="23">
        <v>0</v>
      </c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76">
        <v>14</v>
      </c>
      <c r="C80" s="77" t="s">
        <v>81</v>
      </c>
      <c r="D80" s="116">
        <v>700</v>
      </c>
      <c r="E80" s="35">
        <v>0</v>
      </c>
      <c r="F80" s="21">
        <f t="shared" si="3"/>
        <v>0</v>
      </c>
      <c r="G80" s="22"/>
      <c r="H80" s="23">
        <v>0</v>
      </c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76">
        <v>15</v>
      </c>
      <c r="C81" s="77" t="s">
        <v>82</v>
      </c>
      <c r="D81" s="116">
        <v>700</v>
      </c>
      <c r="E81" s="35">
        <v>0</v>
      </c>
      <c r="F81" s="21">
        <f t="shared" si="3"/>
        <v>0</v>
      </c>
      <c r="G81" s="22"/>
      <c r="H81" s="23">
        <v>0</v>
      </c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76">
        <v>16</v>
      </c>
      <c r="C82" s="77" t="s">
        <v>83</v>
      </c>
      <c r="D82" s="116">
        <v>1130</v>
      </c>
      <c r="E82" s="35">
        <v>0</v>
      </c>
      <c r="F82" s="21">
        <f t="shared" si="3"/>
        <v>0</v>
      </c>
      <c r="G82" s="22"/>
      <c r="H82" s="23">
        <v>0</v>
      </c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78">
        <v>17</v>
      </c>
      <c r="C83" s="79" t="s">
        <v>84</v>
      </c>
      <c r="D83" s="116">
        <v>805</v>
      </c>
      <c r="E83" s="35">
        <v>0</v>
      </c>
      <c r="F83" s="21">
        <f t="shared" si="3"/>
        <v>0</v>
      </c>
      <c r="G83" s="22"/>
      <c r="H83" s="23">
        <v>0</v>
      </c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78">
        <v>18</v>
      </c>
      <c r="C84" s="79" t="s">
        <v>85</v>
      </c>
      <c r="D84" s="116">
        <v>1885</v>
      </c>
      <c r="E84" s="35">
        <v>0</v>
      </c>
      <c r="F84" s="21">
        <f t="shared" si="3"/>
        <v>0</v>
      </c>
      <c r="G84" s="22"/>
      <c r="H84" s="23">
        <v>0</v>
      </c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78">
        <v>19</v>
      </c>
      <c r="C85" s="79" t="s">
        <v>86</v>
      </c>
      <c r="D85" s="116">
        <v>1640</v>
      </c>
      <c r="E85" s="35">
        <v>0</v>
      </c>
      <c r="F85" s="21">
        <f t="shared" si="3"/>
        <v>0</v>
      </c>
      <c r="G85" s="22"/>
      <c r="H85" s="23">
        <v>0</v>
      </c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78">
        <v>20</v>
      </c>
      <c r="C86" s="79" t="s">
        <v>87</v>
      </c>
      <c r="D86" s="116">
        <v>0</v>
      </c>
      <c r="E86" s="35">
        <v>0</v>
      </c>
      <c r="F86" s="21">
        <f t="shared" si="3"/>
        <v>0</v>
      </c>
      <c r="G86" s="22"/>
      <c r="H86" s="23">
        <v>0</v>
      </c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78">
        <v>21</v>
      </c>
      <c r="C87" s="79" t="s">
        <v>88</v>
      </c>
      <c r="D87" s="116">
        <v>1125</v>
      </c>
      <c r="E87" s="35">
        <v>0</v>
      </c>
      <c r="F87" s="21">
        <f t="shared" si="3"/>
        <v>0</v>
      </c>
      <c r="G87" s="22"/>
      <c r="H87" s="23">
        <v>0</v>
      </c>
      <c r="I87" s="1"/>
      <c r="J87" s="1"/>
      <c r="K87" s="1"/>
      <c r="L87" s="1"/>
      <c r="M87" s="1"/>
      <c r="N87" s="1"/>
      <c r="O87" s="1"/>
    </row>
    <row r="88" spans="1:15" ht="30" customHeight="1">
      <c r="A88" s="1"/>
      <c r="B88" s="125" t="s">
        <v>89</v>
      </c>
      <c r="C88" s="125"/>
      <c r="D88" s="80"/>
      <c r="E88" s="30">
        <v>0</v>
      </c>
      <c r="F88" s="30">
        <f>SUM(F65:F87)</f>
        <v>3150</v>
      </c>
      <c r="G88" s="22"/>
      <c r="H88" s="23">
        <v>0</v>
      </c>
      <c r="I88" s="81"/>
      <c r="J88" s="81"/>
      <c r="K88" s="81"/>
      <c r="L88" s="81"/>
      <c r="M88" s="81"/>
      <c r="N88" s="81"/>
      <c r="O88" s="81"/>
    </row>
    <row r="89" spans="1:15" ht="15.75" customHeight="1">
      <c r="A89" s="1"/>
      <c r="B89" s="64"/>
      <c r="C89" s="65"/>
      <c r="D89" s="32"/>
      <c r="E89" s="32"/>
      <c r="F89" s="32"/>
      <c r="G89" s="32"/>
      <c r="H89" s="32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32" t="s">
        <v>90</v>
      </c>
      <c r="C90" s="132"/>
      <c r="D90" s="32"/>
      <c r="E90" s="32"/>
      <c r="F90" s="32"/>
      <c r="G90" s="32"/>
      <c r="H90" s="32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82">
        <v>1</v>
      </c>
      <c r="C91" s="83" t="s">
        <v>91</v>
      </c>
      <c r="D91" s="45">
        <v>10</v>
      </c>
      <c r="E91" s="35">
        <v>0</v>
      </c>
      <c r="F91" s="21">
        <f t="shared" ref="F91:F127" si="4">D91*E91</f>
        <v>0</v>
      </c>
      <c r="G91" s="22"/>
      <c r="H91" s="23">
        <v>0</v>
      </c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84">
        <v>2</v>
      </c>
      <c r="C92" s="85" t="s">
        <v>92</v>
      </c>
      <c r="D92" s="45">
        <v>10</v>
      </c>
      <c r="E92" s="35">
        <v>0</v>
      </c>
      <c r="F92" s="21">
        <f t="shared" si="4"/>
        <v>0</v>
      </c>
      <c r="G92" s="22"/>
      <c r="H92" s="23">
        <v>0</v>
      </c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84">
        <v>3</v>
      </c>
      <c r="C93" s="85" t="s">
        <v>93</v>
      </c>
      <c r="D93" s="45">
        <v>10</v>
      </c>
      <c r="E93" s="35">
        <v>0</v>
      </c>
      <c r="F93" s="21">
        <f t="shared" si="4"/>
        <v>0</v>
      </c>
      <c r="G93" s="22"/>
      <c r="H93" s="23">
        <v>0</v>
      </c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84">
        <v>4</v>
      </c>
      <c r="C94" s="86" t="s">
        <v>94</v>
      </c>
      <c r="D94" s="45">
        <v>10</v>
      </c>
      <c r="E94" s="35">
        <v>0</v>
      </c>
      <c r="F94" s="21">
        <f t="shared" si="4"/>
        <v>0</v>
      </c>
      <c r="G94" s="22"/>
      <c r="H94" s="23">
        <v>0</v>
      </c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84">
        <v>5</v>
      </c>
      <c r="C95" s="87" t="s">
        <v>95</v>
      </c>
      <c r="D95" s="45">
        <v>10</v>
      </c>
      <c r="E95" s="35">
        <v>0</v>
      </c>
      <c r="F95" s="21">
        <f t="shared" si="4"/>
        <v>0</v>
      </c>
      <c r="G95" s="22"/>
      <c r="H95" s="23">
        <v>0</v>
      </c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84">
        <v>6</v>
      </c>
      <c r="C96" s="88" t="s">
        <v>96</v>
      </c>
      <c r="D96" s="45">
        <v>10</v>
      </c>
      <c r="E96" s="35">
        <v>0</v>
      </c>
      <c r="F96" s="21">
        <f t="shared" si="4"/>
        <v>0</v>
      </c>
      <c r="G96" s="22"/>
      <c r="H96" s="23">
        <v>0</v>
      </c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84">
        <v>7</v>
      </c>
      <c r="C97" s="88" t="s">
        <v>97</v>
      </c>
      <c r="D97" s="45">
        <v>40</v>
      </c>
      <c r="E97" s="35">
        <v>0</v>
      </c>
      <c r="F97" s="21">
        <f t="shared" si="4"/>
        <v>0</v>
      </c>
      <c r="G97" s="22"/>
      <c r="H97" s="23">
        <v>0</v>
      </c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84">
        <v>8</v>
      </c>
      <c r="C98" s="88" t="s">
        <v>98</v>
      </c>
      <c r="D98" s="45">
        <v>10</v>
      </c>
      <c r="E98" s="35">
        <v>0</v>
      </c>
      <c r="F98" s="21">
        <f t="shared" si="4"/>
        <v>0</v>
      </c>
      <c r="G98" s="22"/>
      <c r="H98" s="23">
        <v>0</v>
      </c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84">
        <v>9</v>
      </c>
      <c r="C99" s="88" t="s">
        <v>99</v>
      </c>
      <c r="D99" s="45">
        <v>10</v>
      </c>
      <c r="E99" s="35">
        <v>0</v>
      </c>
      <c r="F99" s="21">
        <f t="shared" si="4"/>
        <v>0</v>
      </c>
      <c r="G99" s="22"/>
      <c r="H99" s="23">
        <v>0</v>
      </c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84">
        <v>10</v>
      </c>
      <c r="C100" s="88" t="s">
        <v>100</v>
      </c>
      <c r="D100" s="45">
        <v>10</v>
      </c>
      <c r="E100" s="35">
        <v>0</v>
      </c>
      <c r="F100" s="21">
        <f t="shared" si="4"/>
        <v>0</v>
      </c>
      <c r="G100" s="22"/>
      <c r="H100" s="23">
        <v>0</v>
      </c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84">
        <v>11</v>
      </c>
      <c r="C101" s="88" t="s">
        <v>101</v>
      </c>
      <c r="D101" s="45">
        <v>10</v>
      </c>
      <c r="E101" s="35">
        <v>0</v>
      </c>
      <c r="F101" s="21">
        <f t="shared" si="4"/>
        <v>0</v>
      </c>
      <c r="G101" s="22"/>
      <c r="H101" s="23">
        <v>0</v>
      </c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84">
        <v>12</v>
      </c>
      <c r="C102" s="88" t="s">
        <v>102</v>
      </c>
      <c r="D102" s="45">
        <v>10</v>
      </c>
      <c r="E102" s="35">
        <v>0</v>
      </c>
      <c r="F102" s="21">
        <f t="shared" si="4"/>
        <v>0</v>
      </c>
      <c r="G102" s="22"/>
      <c r="H102" s="23">
        <v>0</v>
      </c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84">
        <v>13</v>
      </c>
      <c r="C103" s="88" t="s">
        <v>103</v>
      </c>
      <c r="D103" s="45">
        <v>10</v>
      </c>
      <c r="E103" s="35">
        <v>0</v>
      </c>
      <c r="F103" s="21">
        <f t="shared" si="4"/>
        <v>0</v>
      </c>
      <c r="G103" s="22"/>
      <c r="H103" s="23">
        <v>0</v>
      </c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84">
        <v>14</v>
      </c>
      <c r="C104" s="88" t="s">
        <v>104</v>
      </c>
      <c r="D104" s="45">
        <v>10</v>
      </c>
      <c r="E104" s="35">
        <v>0</v>
      </c>
      <c r="F104" s="21">
        <f t="shared" si="4"/>
        <v>0</v>
      </c>
      <c r="G104" s="22"/>
      <c r="H104" s="23">
        <v>0</v>
      </c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84">
        <v>15</v>
      </c>
      <c r="C105" s="88" t="s">
        <v>105</v>
      </c>
      <c r="D105" s="45">
        <v>135</v>
      </c>
      <c r="E105" s="35">
        <v>0</v>
      </c>
      <c r="F105" s="21">
        <f t="shared" si="4"/>
        <v>0</v>
      </c>
      <c r="G105" s="22"/>
      <c r="H105" s="23">
        <v>0</v>
      </c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84">
        <v>16</v>
      </c>
      <c r="C106" s="88" t="s">
        <v>106</v>
      </c>
      <c r="D106" s="45">
        <v>10</v>
      </c>
      <c r="E106" s="35">
        <v>0</v>
      </c>
      <c r="F106" s="21">
        <f t="shared" si="4"/>
        <v>0</v>
      </c>
      <c r="G106" s="22"/>
      <c r="H106" s="23">
        <v>0</v>
      </c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84">
        <v>17</v>
      </c>
      <c r="C107" s="88" t="s">
        <v>107</v>
      </c>
      <c r="D107" s="45">
        <v>10</v>
      </c>
      <c r="E107" s="35">
        <v>0</v>
      </c>
      <c r="F107" s="21">
        <f t="shared" si="4"/>
        <v>0</v>
      </c>
      <c r="G107" s="22"/>
      <c r="H107" s="23">
        <v>0</v>
      </c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84">
        <v>18</v>
      </c>
      <c r="C108" s="88" t="s">
        <v>108</v>
      </c>
      <c r="D108" s="45">
        <v>10</v>
      </c>
      <c r="E108" s="35">
        <v>0</v>
      </c>
      <c r="F108" s="21">
        <f t="shared" si="4"/>
        <v>0</v>
      </c>
      <c r="G108" s="22"/>
      <c r="H108" s="23">
        <v>0</v>
      </c>
      <c r="I108" s="1"/>
      <c r="J108" s="1"/>
      <c r="K108" s="1"/>
      <c r="L108" s="1"/>
      <c r="M108" s="1"/>
      <c r="N108" s="1"/>
      <c r="O108" s="1"/>
    </row>
    <row r="109" spans="1:15" ht="21.75" customHeight="1">
      <c r="A109" s="1"/>
      <c r="B109" s="84">
        <v>19</v>
      </c>
      <c r="C109" s="89" t="s">
        <v>109</v>
      </c>
      <c r="D109" s="45">
        <v>10</v>
      </c>
      <c r="E109" s="35">
        <v>0</v>
      </c>
      <c r="F109" s="21">
        <f t="shared" si="4"/>
        <v>0</v>
      </c>
      <c r="G109" s="22"/>
      <c r="H109" s="23">
        <v>0</v>
      </c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84">
        <v>20</v>
      </c>
      <c r="C110" s="88" t="s">
        <v>110</v>
      </c>
      <c r="D110" s="45">
        <v>10</v>
      </c>
      <c r="E110" s="35">
        <v>0</v>
      </c>
      <c r="F110" s="21">
        <f t="shared" si="4"/>
        <v>0</v>
      </c>
      <c r="G110" s="22"/>
      <c r="H110" s="23">
        <v>0</v>
      </c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84">
        <v>21</v>
      </c>
      <c r="C111" s="88" t="s">
        <v>111</v>
      </c>
      <c r="D111" s="45">
        <v>10</v>
      </c>
      <c r="E111" s="35">
        <v>0</v>
      </c>
      <c r="F111" s="21">
        <f t="shared" si="4"/>
        <v>0</v>
      </c>
      <c r="G111" s="22"/>
      <c r="H111" s="23">
        <v>0</v>
      </c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84">
        <v>22</v>
      </c>
      <c r="C112" s="88" t="s">
        <v>112</v>
      </c>
      <c r="D112" s="45">
        <v>10</v>
      </c>
      <c r="E112" s="35">
        <v>0</v>
      </c>
      <c r="F112" s="21">
        <f t="shared" si="4"/>
        <v>0</v>
      </c>
      <c r="G112" s="22"/>
      <c r="H112" s="23">
        <v>0</v>
      </c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84">
        <v>23</v>
      </c>
      <c r="C113" s="88" t="s">
        <v>113</v>
      </c>
      <c r="D113" s="45">
        <v>10</v>
      </c>
      <c r="E113" s="35">
        <v>0</v>
      </c>
      <c r="F113" s="21">
        <f t="shared" si="4"/>
        <v>0</v>
      </c>
      <c r="G113" s="22"/>
      <c r="H113" s="23">
        <v>0</v>
      </c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84">
        <v>24</v>
      </c>
      <c r="C114" s="88" t="s">
        <v>114</v>
      </c>
      <c r="D114" s="45">
        <v>10</v>
      </c>
      <c r="E114" s="35">
        <v>0</v>
      </c>
      <c r="F114" s="21">
        <f t="shared" si="4"/>
        <v>0</v>
      </c>
      <c r="G114" s="22"/>
      <c r="H114" s="23">
        <v>0</v>
      </c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84">
        <v>25</v>
      </c>
      <c r="C115" s="88" t="s">
        <v>115</v>
      </c>
      <c r="D115" s="45">
        <v>10</v>
      </c>
      <c r="E115" s="35">
        <v>0</v>
      </c>
      <c r="F115" s="21">
        <f t="shared" si="4"/>
        <v>0</v>
      </c>
      <c r="G115" s="22"/>
      <c r="H115" s="23">
        <v>0</v>
      </c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84">
        <v>26</v>
      </c>
      <c r="C116" s="88" t="s">
        <v>116</v>
      </c>
      <c r="D116" s="45">
        <v>10</v>
      </c>
      <c r="E116" s="35">
        <v>0</v>
      </c>
      <c r="F116" s="21">
        <f t="shared" si="4"/>
        <v>0</v>
      </c>
      <c r="G116" s="22"/>
      <c r="H116" s="23">
        <v>0</v>
      </c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84">
        <v>27</v>
      </c>
      <c r="C117" s="88" t="s">
        <v>76</v>
      </c>
      <c r="D117" s="45">
        <v>10</v>
      </c>
      <c r="E117" s="35">
        <v>0</v>
      </c>
      <c r="F117" s="21">
        <f t="shared" si="4"/>
        <v>0</v>
      </c>
      <c r="G117" s="22"/>
      <c r="H117" s="23">
        <v>0</v>
      </c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84">
        <v>28</v>
      </c>
      <c r="C118" s="88" t="s">
        <v>117</v>
      </c>
      <c r="D118" s="45">
        <v>10</v>
      </c>
      <c r="E118" s="35">
        <v>0</v>
      </c>
      <c r="F118" s="21">
        <f t="shared" si="4"/>
        <v>0</v>
      </c>
      <c r="G118" s="22"/>
      <c r="H118" s="23">
        <v>0</v>
      </c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84">
        <v>29</v>
      </c>
      <c r="C119" s="88" t="s">
        <v>118</v>
      </c>
      <c r="D119" s="45">
        <v>10</v>
      </c>
      <c r="E119" s="35">
        <v>0</v>
      </c>
      <c r="F119" s="21">
        <f t="shared" si="4"/>
        <v>0</v>
      </c>
      <c r="G119" s="22"/>
      <c r="H119" s="23">
        <v>0</v>
      </c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84">
        <v>30</v>
      </c>
      <c r="C120" s="88" t="s">
        <v>119</v>
      </c>
      <c r="D120" s="45">
        <v>40</v>
      </c>
      <c r="E120" s="35">
        <v>0</v>
      </c>
      <c r="F120" s="21">
        <f t="shared" si="4"/>
        <v>0</v>
      </c>
      <c r="G120" s="22"/>
      <c r="H120" s="23">
        <v>0</v>
      </c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84">
        <v>31</v>
      </c>
      <c r="C121" s="87" t="s">
        <v>120</v>
      </c>
      <c r="D121" s="45">
        <v>90</v>
      </c>
      <c r="E121" s="35">
        <v>0</v>
      </c>
      <c r="F121" s="21">
        <f t="shared" si="4"/>
        <v>0</v>
      </c>
      <c r="G121" s="22"/>
      <c r="H121" s="23">
        <v>0</v>
      </c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84">
        <v>32</v>
      </c>
      <c r="C122" s="88" t="s">
        <v>121</v>
      </c>
      <c r="D122" s="45">
        <v>10</v>
      </c>
      <c r="E122" s="35">
        <v>0</v>
      </c>
      <c r="F122" s="21">
        <f t="shared" si="4"/>
        <v>0</v>
      </c>
      <c r="G122" s="22"/>
      <c r="H122" s="23">
        <v>0</v>
      </c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84">
        <v>33</v>
      </c>
      <c r="C123" s="88" t="s">
        <v>122</v>
      </c>
      <c r="D123" s="45">
        <v>10</v>
      </c>
      <c r="E123" s="35">
        <v>0</v>
      </c>
      <c r="F123" s="21">
        <f t="shared" si="4"/>
        <v>0</v>
      </c>
      <c r="G123" s="22"/>
      <c r="H123" s="23">
        <v>0</v>
      </c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84">
        <v>34</v>
      </c>
      <c r="C124" s="88" t="s">
        <v>123</v>
      </c>
      <c r="D124" s="45">
        <v>10</v>
      </c>
      <c r="E124" s="35">
        <v>0</v>
      </c>
      <c r="F124" s="21">
        <f t="shared" si="4"/>
        <v>0</v>
      </c>
      <c r="G124" s="22"/>
      <c r="H124" s="23">
        <v>0</v>
      </c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84">
        <v>35</v>
      </c>
      <c r="C125" s="88" t="s">
        <v>124</v>
      </c>
      <c r="D125" s="45">
        <v>30</v>
      </c>
      <c r="E125" s="35">
        <v>0</v>
      </c>
      <c r="F125" s="21">
        <f t="shared" si="4"/>
        <v>0</v>
      </c>
      <c r="G125" s="22"/>
      <c r="H125" s="23">
        <v>0</v>
      </c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84">
        <v>36</v>
      </c>
      <c r="C126" s="88" t="s">
        <v>125</v>
      </c>
      <c r="D126" s="45">
        <v>10</v>
      </c>
      <c r="E126" s="35">
        <v>0</v>
      </c>
      <c r="F126" s="21">
        <f t="shared" si="4"/>
        <v>0</v>
      </c>
      <c r="G126" s="22"/>
      <c r="H126" s="23">
        <v>0</v>
      </c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84">
        <v>37</v>
      </c>
      <c r="C127" s="88" t="s">
        <v>126</v>
      </c>
      <c r="D127" s="45">
        <v>30</v>
      </c>
      <c r="E127" s="35">
        <v>0</v>
      </c>
      <c r="F127" s="21">
        <f t="shared" si="4"/>
        <v>0</v>
      </c>
      <c r="G127" s="22"/>
      <c r="H127" s="23">
        <v>0</v>
      </c>
      <c r="I127" s="1"/>
      <c r="J127" s="1"/>
      <c r="K127" s="1"/>
      <c r="L127" s="1"/>
      <c r="M127" s="1"/>
      <c r="N127" s="1"/>
      <c r="O127" s="1"/>
    </row>
    <row r="128" spans="1:15" ht="24.75" customHeight="1">
      <c r="A128" s="1"/>
      <c r="B128" s="125" t="s">
        <v>127</v>
      </c>
      <c r="C128" s="125"/>
      <c r="D128" s="80"/>
      <c r="E128" s="30">
        <v>0</v>
      </c>
      <c r="F128" s="30">
        <f>SUM(F89:F127)</f>
        <v>0</v>
      </c>
      <c r="G128" s="22"/>
      <c r="H128" s="23">
        <v>0</v>
      </c>
      <c r="I128" s="81"/>
      <c r="J128" s="81"/>
      <c r="K128" s="81"/>
      <c r="L128" s="81"/>
      <c r="M128" s="81"/>
      <c r="N128" s="81"/>
      <c r="O128" s="81"/>
    </row>
    <row r="129" spans="1:15" ht="15.75" customHeight="1">
      <c r="A129" s="1"/>
      <c r="B129" s="90"/>
      <c r="C129" s="81"/>
      <c r="D129" s="32"/>
      <c r="E129" s="32"/>
      <c r="F129" s="32"/>
      <c r="G129" s="32"/>
      <c r="H129" s="32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26" t="s">
        <v>128</v>
      </c>
      <c r="C130" s="126"/>
      <c r="D130" s="32"/>
      <c r="E130" s="32"/>
      <c r="F130" s="32"/>
      <c r="G130" s="32"/>
      <c r="H130" s="32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91">
        <v>1</v>
      </c>
      <c r="C131" s="92" t="s">
        <v>129</v>
      </c>
      <c r="D131" s="45">
        <v>265</v>
      </c>
      <c r="E131" s="35">
        <v>3</v>
      </c>
      <c r="F131" s="21">
        <f>D131*E131</f>
        <v>795</v>
      </c>
      <c r="G131" s="22">
        <v>0</v>
      </c>
      <c r="H131" s="23">
        <v>0</v>
      </c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93">
        <v>2</v>
      </c>
      <c r="C132" s="94" t="s">
        <v>130</v>
      </c>
      <c r="D132" s="45">
        <v>265</v>
      </c>
      <c r="E132" s="35">
        <v>0</v>
      </c>
      <c r="F132" s="21">
        <f>D132*E132</f>
        <v>0</v>
      </c>
      <c r="G132" s="22">
        <v>0</v>
      </c>
      <c r="H132" s="23">
        <v>0</v>
      </c>
      <c r="I132" s="1"/>
      <c r="J132" s="1"/>
      <c r="K132" s="1"/>
      <c r="L132" s="1"/>
      <c r="M132" s="1"/>
      <c r="N132" s="1"/>
      <c r="O132" s="1"/>
    </row>
    <row r="133" spans="1:15" ht="27.75" customHeight="1">
      <c r="A133" s="1"/>
      <c r="B133" s="125" t="s">
        <v>131</v>
      </c>
      <c r="C133" s="125"/>
      <c r="D133" s="80"/>
      <c r="E133" s="30">
        <v>0</v>
      </c>
      <c r="F133" s="30">
        <f>SUM(F129:F132)</f>
        <v>795</v>
      </c>
      <c r="G133" s="22"/>
      <c r="H133" s="23">
        <v>0</v>
      </c>
      <c r="I133" s="1"/>
      <c r="J133" s="1"/>
      <c r="K133" s="1"/>
      <c r="L133" s="1"/>
      <c r="M133" s="1"/>
      <c r="N133" s="1"/>
      <c r="O133" s="1"/>
    </row>
    <row r="134" spans="1:15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27" customHeight="1">
      <c r="A135" s="1"/>
      <c r="B135" s="134" t="s">
        <v>132</v>
      </c>
      <c r="C135" s="134"/>
      <c r="D135" s="9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96">
        <v>1</v>
      </c>
      <c r="C136" s="97" t="s">
        <v>133</v>
      </c>
      <c r="D136" s="98">
        <v>250</v>
      </c>
      <c r="E136" s="35">
        <v>0</v>
      </c>
      <c r="F136" s="21">
        <f t="shared" ref="F136:F167" si="5">D136*E136</f>
        <v>0</v>
      </c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99">
        <v>2</v>
      </c>
      <c r="C137" s="100" t="s">
        <v>134</v>
      </c>
      <c r="D137" s="98">
        <v>250</v>
      </c>
      <c r="E137" s="35">
        <v>0</v>
      </c>
      <c r="F137" s="21">
        <f t="shared" si="5"/>
        <v>0</v>
      </c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99">
        <v>3</v>
      </c>
      <c r="C138" s="100" t="s">
        <v>135</v>
      </c>
      <c r="D138" s="98">
        <v>250</v>
      </c>
      <c r="E138" s="35">
        <v>0</v>
      </c>
      <c r="F138" s="21">
        <f t="shared" si="5"/>
        <v>0</v>
      </c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99">
        <v>4</v>
      </c>
      <c r="C139" s="100" t="s">
        <v>136</v>
      </c>
      <c r="D139" s="98">
        <v>250</v>
      </c>
      <c r="E139" s="35">
        <v>0</v>
      </c>
      <c r="F139" s="21">
        <f t="shared" si="5"/>
        <v>0</v>
      </c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99">
        <v>5</v>
      </c>
      <c r="C140" s="100" t="s">
        <v>137</v>
      </c>
      <c r="D140" s="98">
        <v>250</v>
      </c>
      <c r="E140" s="35">
        <v>0</v>
      </c>
      <c r="F140" s="21">
        <f t="shared" si="5"/>
        <v>0</v>
      </c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99">
        <v>6</v>
      </c>
      <c r="C141" s="100" t="s">
        <v>138</v>
      </c>
      <c r="D141" s="98">
        <v>250</v>
      </c>
      <c r="E141" s="35">
        <v>0</v>
      </c>
      <c r="F141" s="21">
        <f t="shared" si="5"/>
        <v>0</v>
      </c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99">
        <v>7</v>
      </c>
      <c r="C142" s="100" t="s">
        <v>139</v>
      </c>
      <c r="D142" s="98">
        <v>250</v>
      </c>
      <c r="E142" s="35">
        <v>0</v>
      </c>
      <c r="F142" s="21">
        <f t="shared" si="5"/>
        <v>0</v>
      </c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99">
        <v>8</v>
      </c>
      <c r="C143" s="100" t="s">
        <v>140</v>
      </c>
      <c r="D143" s="98">
        <v>250</v>
      </c>
      <c r="E143" s="35">
        <v>0</v>
      </c>
      <c r="F143" s="21">
        <f t="shared" si="5"/>
        <v>0</v>
      </c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99">
        <v>9</v>
      </c>
      <c r="C144" s="100" t="s">
        <v>141</v>
      </c>
      <c r="D144" s="98">
        <v>250</v>
      </c>
      <c r="E144" s="35">
        <v>0</v>
      </c>
      <c r="F144" s="21">
        <f t="shared" si="5"/>
        <v>0</v>
      </c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01">
        <v>10</v>
      </c>
      <c r="C145" s="102" t="s">
        <v>142</v>
      </c>
      <c r="D145" s="98">
        <v>250</v>
      </c>
      <c r="E145" s="35">
        <v>0</v>
      </c>
      <c r="F145" s="21">
        <f t="shared" si="5"/>
        <v>0</v>
      </c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99">
        <v>11</v>
      </c>
      <c r="C146" s="100" t="s">
        <v>143</v>
      </c>
      <c r="D146" s="98">
        <v>250</v>
      </c>
      <c r="E146" s="35">
        <v>0</v>
      </c>
      <c r="F146" s="21">
        <f t="shared" si="5"/>
        <v>0</v>
      </c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99">
        <v>12</v>
      </c>
      <c r="C147" s="100" t="s">
        <v>144</v>
      </c>
      <c r="D147" s="98">
        <v>250</v>
      </c>
      <c r="E147" s="35">
        <v>0</v>
      </c>
      <c r="F147" s="21">
        <f t="shared" si="5"/>
        <v>0</v>
      </c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99">
        <v>13</v>
      </c>
      <c r="C148" s="100" t="s">
        <v>145</v>
      </c>
      <c r="D148" s="98">
        <v>250</v>
      </c>
      <c r="E148" s="35">
        <v>0</v>
      </c>
      <c r="F148" s="21">
        <f t="shared" si="5"/>
        <v>0</v>
      </c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99">
        <v>14</v>
      </c>
      <c r="C149" s="100" t="s">
        <v>146</v>
      </c>
      <c r="D149" s="98">
        <v>250</v>
      </c>
      <c r="E149" s="35">
        <v>0</v>
      </c>
      <c r="F149" s="21">
        <f t="shared" si="5"/>
        <v>0</v>
      </c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99">
        <v>15</v>
      </c>
      <c r="C150" s="103" t="s">
        <v>147</v>
      </c>
      <c r="D150" s="98">
        <v>250</v>
      </c>
      <c r="E150" s="35">
        <v>0</v>
      </c>
      <c r="F150" s="21">
        <f t="shared" si="5"/>
        <v>0</v>
      </c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99">
        <v>16</v>
      </c>
      <c r="C151" s="103" t="s">
        <v>148</v>
      </c>
      <c r="D151" s="98">
        <v>250</v>
      </c>
      <c r="E151" s="35">
        <v>0</v>
      </c>
      <c r="F151" s="21">
        <f t="shared" si="5"/>
        <v>0</v>
      </c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99">
        <v>17</v>
      </c>
      <c r="C152" s="103" t="s">
        <v>149</v>
      </c>
      <c r="D152" s="98">
        <v>250</v>
      </c>
      <c r="E152" s="35">
        <v>0</v>
      </c>
      <c r="F152" s="21">
        <f t="shared" si="5"/>
        <v>0</v>
      </c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99">
        <v>18</v>
      </c>
      <c r="C153" s="103" t="s">
        <v>150</v>
      </c>
      <c r="D153" s="98">
        <v>250</v>
      </c>
      <c r="E153" s="35">
        <v>0</v>
      </c>
      <c r="F153" s="21">
        <f t="shared" si="5"/>
        <v>0</v>
      </c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99">
        <v>19</v>
      </c>
      <c r="C154" s="103" t="s">
        <v>151</v>
      </c>
      <c r="D154" s="98">
        <v>250</v>
      </c>
      <c r="E154" s="35">
        <v>0</v>
      </c>
      <c r="F154" s="21">
        <f t="shared" si="5"/>
        <v>0</v>
      </c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99">
        <v>20</v>
      </c>
      <c r="C155" s="103" t="s">
        <v>152</v>
      </c>
      <c r="D155" s="98">
        <v>250</v>
      </c>
      <c r="E155" s="35">
        <v>0</v>
      </c>
      <c r="F155" s="21">
        <f t="shared" si="5"/>
        <v>0</v>
      </c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99">
        <v>21</v>
      </c>
      <c r="C156" s="103" t="s">
        <v>153</v>
      </c>
      <c r="D156" s="98">
        <v>250</v>
      </c>
      <c r="E156" s="35">
        <v>0</v>
      </c>
      <c r="F156" s="21">
        <f t="shared" si="5"/>
        <v>0</v>
      </c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99">
        <v>22</v>
      </c>
      <c r="C157" s="103" t="s">
        <v>154</v>
      </c>
      <c r="D157" s="98">
        <v>250</v>
      </c>
      <c r="E157" s="35">
        <v>0</v>
      </c>
      <c r="F157" s="21">
        <f t="shared" si="5"/>
        <v>0</v>
      </c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99">
        <v>23</v>
      </c>
      <c r="C158" s="103" t="s">
        <v>155</v>
      </c>
      <c r="D158" s="98">
        <v>250</v>
      </c>
      <c r="E158" s="35">
        <v>0</v>
      </c>
      <c r="F158" s="21">
        <f t="shared" si="5"/>
        <v>0</v>
      </c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99">
        <v>24</v>
      </c>
      <c r="C159" s="103" t="s">
        <v>156</v>
      </c>
      <c r="D159" s="98">
        <v>250</v>
      </c>
      <c r="E159" s="35">
        <v>0</v>
      </c>
      <c r="F159" s="21">
        <f t="shared" si="5"/>
        <v>0</v>
      </c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99">
        <v>25</v>
      </c>
      <c r="C160" s="103" t="s">
        <v>157</v>
      </c>
      <c r="D160" s="98">
        <v>250</v>
      </c>
      <c r="E160" s="35">
        <v>0</v>
      </c>
      <c r="F160" s="21">
        <f t="shared" si="5"/>
        <v>0</v>
      </c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99">
        <v>26</v>
      </c>
      <c r="C161" s="103" t="s">
        <v>158</v>
      </c>
      <c r="D161" s="98">
        <v>250</v>
      </c>
      <c r="E161" s="35">
        <v>0</v>
      </c>
      <c r="F161" s="21">
        <f t="shared" si="5"/>
        <v>0</v>
      </c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99">
        <v>27</v>
      </c>
      <c r="C162" s="103" t="s">
        <v>159</v>
      </c>
      <c r="D162" s="98">
        <v>250</v>
      </c>
      <c r="E162" s="35">
        <v>0</v>
      </c>
      <c r="F162" s="21">
        <f t="shared" si="5"/>
        <v>0</v>
      </c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99">
        <v>28</v>
      </c>
      <c r="C163" s="103" t="s">
        <v>160</v>
      </c>
      <c r="D163" s="98">
        <v>250</v>
      </c>
      <c r="E163" s="35">
        <v>0</v>
      </c>
      <c r="F163" s="21">
        <f t="shared" si="5"/>
        <v>0</v>
      </c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99">
        <v>29</v>
      </c>
      <c r="C164" s="103" t="s">
        <v>161</v>
      </c>
      <c r="D164" s="98">
        <v>250</v>
      </c>
      <c r="E164" s="35">
        <v>0</v>
      </c>
      <c r="F164" s="21">
        <f t="shared" si="5"/>
        <v>0</v>
      </c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99">
        <v>30</v>
      </c>
      <c r="C165" s="103" t="s">
        <v>162</v>
      </c>
      <c r="D165" s="98">
        <v>250</v>
      </c>
      <c r="E165" s="35">
        <v>0</v>
      </c>
      <c r="F165" s="21">
        <f t="shared" si="5"/>
        <v>0</v>
      </c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99">
        <v>31</v>
      </c>
      <c r="C166" s="103" t="s">
        <v>163</v>
      </c>
      <c r="D166" s="98">
        <v>250</v>
      </c>
      <c r="E166" s="35">
        <v>0</v>
      </c>
      <c r="F166" s="21">
        <f t="shared" si="5"/>
        <v>0</v>
      </c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99">
        <v>32</v>
      </c>
      <c r="C167" s="103" t="s">
        <v>164</v>
      </c>
      <c r="D167" s="98">
        <v>250</v>
      </c>
      <c r="E167" s="35">
        <v>0</v>
      </c>
      <c r="F167" s="21">
        <f t="shared" si="5"/>
        <v>0</v>
      </c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99">
        <v>33</v>
      </c>
      <c r="C168" s="103" t="s">
        <v>165</v>
      </c>
      <c r="D168" s="98">
        <v>250</v>
      </c>
      <c r="E168" s="35">
        <v>0</v>
      </c>
      <c r="F168" s="21">
        <f t="shared" ref="F168:F200" si="6">D168*E168</f>
        <v>0</v>
      </c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99"/>
      <c r="C169" s="103" t="s">
        <v>166</v>
      </c>
      <c r="D169" s="98">
        <v>250</v>
      </c>
      <c r="E169" s="35">
        <v>0</v>
      </c>
      <c r="F169" s="21">
        <f t="shared" si="6"/>
        <v>0</v>
      </c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99">
        <v>34</v>
      </c>
      <c r="C170" s="104" t="s">
        <v>167</v>
      </c>
      <c r="D170" s="98">
        <v>290</v>
      </c>
      <c r="E170" s="35">
        <v>0</v>
      </c>
      <c r="F170" s="21">
        <f t="shared" si="6"/>
        <v>0</v>
      </c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99">
        <v>35</v>
      </c>
      <c r="C171" s="104" t="s">
        <v>168</v>
      </c>
      <c r="D171" s="98">
        <v>290</v>
      </c>
      <c r="E171" s="35">
        <v>0</v>
      </c>
      <c r="F171" s="21">
        <f t="shared" si="6"/>
        <v>0</v>
      </c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99">
        <v>36</v>
      </c>
      <c r="C172" s="104" t="s">
        <v>169</v>
      </c>
      <c r="D172" s="98">
        <v>290</v>
      </c>
      <c r="E172" s="35">
        <v>0</v>
      </c>
      <c r="F172" s="21">
        <f t="shared" si="6"/>
        <v>0</v>
      </c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99">
        <v>37</v>
      </c>
      <c r="C173" s="104" t="s">
        <v>170</v>
      </c>
      <c r="D173" s="98">
        <v>290</v>
      </c>
      <c r="E173" s="35">
        <v>0</v>
      </c>
      <c r="F173" s="21">
        <f t="shared" si="6"/>
        <v>0</v>
      </c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99">
        <v>38</v>
      </c>
      <c r="C174" s="104" t="s">
        <v>171</v>
      </c>
      <c r="D174" s="98">
        <v>290</v>
      </c>
      <c r="E174" s="35">
        <v>0</v>
      </c>
      <c r="F174" s="21">
        <f t="shared" si="6"/>
        <v>0</v>
      </c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99">
        <v>39</v>
      </c>
      <c r="C175" s="104" t="s">
        <v>172</v>
      </c>
      <c r="D175" s="98">
        <v>290</v>
      </c>
      <c r="E175" s="35">
        <v>0</v>
      </c>
      <c r="F175" s="21">
        <f t="shared" si="6"/>
        <v>0</v>
      </c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99">
        <v>40</v>
      </c>
      <c r="C176" s="104" t="s">
        <v>173</v>
      </c>
      <c r="D176" s="98">
        <v>290</v>
      </c>
      <c r="E176" s="35">
        <v>0</v>
      </c>
      <c r="F176" s="21">
        <f t="shared" si="6"/>
        <v>0</v>
      </c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99">
        <v>41</v>
      </c>
      <c r="C177" s="104" t="s">
        <v>174</v>
      </c>
      <c r="D177" s="98">
        <v>290</v>
      </c>
      <c r="E177" s="35">
        <v>0</v>
      </c>
      <c r="F177" s="21">
        <f t="shared" si="6"/>
        <v>0</v>
      </c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99">
        <v>42</v>
      </c>
      <c r="C178" s="104" t="s">
        <v>175</v>
      </c>
      <c r="D178" s="98">
        <v>290</v>
      </c>
      <c r="E178" s="35">
        <v>0</v>
      </c>
      <c r="F178" s="21">
        <f t="shared" si="6"/>
        <v>0</v>
      </c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99">
        <v>43</v>
      </c>
      <c r="C179" s="104" t="s">
        <v>176</v>
      </c>
      <c r="D179" s="98">
        <v>290</v>
      </c>
      <c r="E179" s="35">
        <v>0</v>
      </c>
      <c r="F179" s="21">
        <f t="shared" si="6"/>
        <v>0</v>
      </c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99">
        <v>44</v>
      </c>
      <c r="C180" s="104" t="s">
        <v>177</v>
      </c>
      <c r="D180" s="98">
        <v>290</v>
      </c>
      <c r="E180" s="35">
        <v>0</v>
      </c>
      <c r="F180" s="21">
        <f t="shared" si="6"/>
        <v>0</v>
      </c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99">
        <v>45</v>
      </c>
      <c r="C181" s="104" t="s">
        <v>178</v>
      </c>
      <c r="D181" s="98">
        <v>290</v>
      </c>
      <c r="E181" s="35">
        <v>0</v>
      </c>
      <c r="F181" s="21">
        <f t="shared" si="6"/>
        <v>0</v>
      </c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99">
        <v>46</v>
      </c>
      <c r="C182" s="104" t="s">
        <v>179</v>
      </c>
      <c r="D182" s="98">
        <v>290</v>
      </c>
      <c r="E182" s="35">
        <v>0</v>
      </c>
      <c r="F182" s="21">
        <f t="shared" si="6"/>
        <v>0</v>
      </c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99">
        <v>47</v>
      </c>
      <c r="C183" s="104" t="s">
        <v>180</v>
      </c>
      <c r="D183" s="98">
        <v>290</v>
      </c>
      <c r="E183" s="35">
        <v>0</v>
      </c>
      <c r="F183" s="21">
        <f t="shared" si="6"/>
        <v>0</v>
      </c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99">
        <v>48</v>
      </c>
      <c r="C184" s="104" t="s">
        <v>181</v>
      </c>
      <c r="D184" s="98">
        <v>290</v>
      </c>
      <c r="E184" s="35">
        <v>0</v>
      </c>
      <c r="F184" s="21">
        <f t="shared" si="6"/>
        <v>0</v>
      </c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99">
        <v>49</v>
      </c>
      <c r="C185" s="104" t="s">
        <v>182</v>
      </c>
      <c r="D185" s="98">
        <v>290</v>
      </c>
      <c r="E185" s="35">
        <v>0</v>
      </c>
      <c r="F185" s="21">
        <f t="shared" si="6"/>
        <v>0</v>
      </c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99">
        <v>50</v>
      </c>
      <c r="C186" s="104" t="s">
        <v>183</v>
      </c>
      <c r="D186" s="98">
        <v>290</v>
      </c>
      <c r="E186" s="35">
        <v>0</v>
      </c>
      <c r="F186" s="21">
        <f t="shared" si="6"/>
        <v>0</v>
      </c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99">
        <v>51</v>
      </c>
      <c r="C187" s="104" t="s">
        <v>184</v>
      </c>
      <c r="D187" s="98">
        <v>290</v>
      </c>
      <c r="E187" s="35">
        <v>0</v>
      </c>
      <c r="F187" s="21">
        <f t="shared" si="6"/>
        <v>0</v>
      </c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99">
        <v>52</v>
      </c>
      <c r="C188" s="104" t="s">
        <v>185</v>
      </c>
      <c r="D188" s="98">
        <v>290</v>
      </c>
      <c r="E188" s="35">
        <v>0</v>
      </c>
      <c r="F188" s="21">
        <f t="shared" si="6"/>
        <v>0</v>
      </c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99">
        <v>53</v>
      </c>
      <c r="C189" s="104" t="s">
        <v>186</v>
      </c>
      <c r="D189" s="98">
        <v>290</v>
      </c>
      <c r="E189" s="35">
        <v>0</v>
      </c>
      <c r="F189" s="21">
        <f t="shared" si="6"/>
        <v>0</v>
      </c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99">
        <v>54</v>
      </c>
      <c r="C190" s="104" t="s">
        <v>187</v>
      </c>
      <c r="D190" s="98">
        <v>290</v>
      </c>
      <c r="E190" s="35">
        <v>0</v>
      </c>
      <c r="F190" s="21">
        <f t="shared" si="6"/>
        <v>0</v>
      </c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99">
        <v>55</v>
      </c>
      <c r="C191" s="105" t="s">
        <v>188</v>
      </c>
      <c r="D191" s="98">
        <v>1200</v>
      </c>
      <c r="E191" s="35">
        <v>0</v>
      </c>
      <c r="F191" s="21">
        <f t="shared" si="6"/>
        <v>0</v>
      </c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99">
        <v>56</v>
      </c>
      <c r="C192" s="105" t="s">
        <v>189</v>
      </c>
      <c r="D192" s="98">
        <v>1200</v>
      </c>
      <c r="E192" s="35">
        <v>0</v>
      </c>
      <c r="F192" s="21">
        <f t="shared" si="6"/>
        <v>0</v>
      </c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99">
        <v>57</v>
      </c>
      <c r="C193" s="105" t="s">
        <v>190</v>
      </c>
      <c r="D193" s="98">
        <v>1200</v>
      </c>
      <c r="E193" s="35">
        <v>0</v>
      </c>
      <c r="F193" s="21">
        <f t="shared" si="6"/>
        <v>0</v>
      </c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99">
        <v>58</v>
      </c>
      <c r="C194" s="105" t="s">
        <v>191</v>
      </c>
      <c r="D194" s="98">
        <v>1200</v>
      </c>
      <c r="E194" s="35">
        <v>0</v>
      </c>
      <c r="F194" s="21">
        <f t="shared" si="6"/>
        <v>0</v>
      </c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99">
        <v>59</v>
      </c>
      <c r="C195" s="105" t="s">
        <v>192</v>
      </c>
      <c r="D195" s="98">
        <v>1200</v>
      </c>
      <c r="E195" s="35">
        <v>0</v>
      </c>
      <c r="F195" s="21">
        <f t="shared" si="6"/>
        <v>0</v>
      </c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99">
        <v>60</v>
      </c>
      <c r="C196" s="105" t="s">
        <v>193</v>
      </c>
      <c r="D196" s="98">
        <v>1200</v>
      </c>
      <c r="E196" s="35">
        <v>0</v>
      </c>
      <c r="F196" s="21">
        <f t="shared" si="6"/>
        <v>0</v>
      </c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99">
        <v>61</v>
      </c>
      <c r="C197" s="105" t="s">
        <v>194</v>
      </c>
      <c r="D197" s="98">
        <v>1200</v>
      </c>
      <c r="E197" s="35">
        <v>0</v>
      </c>
      <c r="F197" s="21">
        <f t="shared" si="6"/>
        <v>0</v>
      </c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99">
        <v>62</v>
      </c>
      <c r="C198" s="105" t="s">
        <v>195</v>
      </c>
      <c r="D198" s="98">
        <v>1200</v>
      </c>
      <c r="E198" s="35">
        <v>0</v>
      </c>
      <c r="F198" s="21">
        <f t="shared" si="6"/>
        <v>0</v>
      </c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99">
        <v>63</v>
      </c>
      <c r="C199" s="105" t="s">
        <v>196</v>
      </c>
      <c r="D199" s="98">
        <v>1200</v>
      </c>
      <c r="E199" s="35">
        <v>0</v>
      </c>
      <c r="F199" s="21">
        <f t="shared" si="6"/>
        <v>0</v>
      </c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99">
        <v>64</v>
      </c>
      <c r="C200" s="105" t="s">
        <v>197</v>
      </c>
      <c r="D200" s="98">
        <v>1200</v>
      </c>
      <c r="E200" s="35">
        <v>0</v>
      </c>
      <c r="F200" s="21">
        <f t="shared" si="6"/>
        <v>0</v>
      </c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99">
        <v>65</v>
      </c>
      <c r="C201" s="105" t="s">
        <v>198</v>
      </c>
      <c r="D201" s="98">
        <v>1200</v>
      </c>
      <c r="E201" s="35">
        <v>0</v>
      </c>
      <c r="F201" s="21">
        <f t="shared" ref="F201:F214" si="7">D201*E201</f>
        <v>0</v>
      </c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99">
        <v>66</v>
      </c>
      <c r="C202" s="105" t="s">
        <v>199</v>
      </c>
      <c r="D202" s="98">
        <v>1200</v>
      </c>
      <c r="E202" s="35">
        <v>0</v>
      </c>
      <c r="F202" s="21">
        <f t="shared" si="7"/>
        <v>0</v>
      </c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99">
        <v>67</v>
      </c>
      <c r="C203" s="105" t="s">
        <v>200</v>
      </c>
      <c r="D203" s="98">
        <v>1200</v>
      </c>
      <c r="E203" s="35">
        <v>0</v>
      </c>
      <c r="F203" s="21">
        <f t="shared" si="7"/>
        <v>0</v>
      </c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99">
        <v>68</v>
      </c>
      <c r="C204" s="105" t="s">
        <v>201</v>
      </c>
      <c r="D204" s="98">
        <v>1200</v>
      </c>
      <c r="E204" s="35">
        <v>0</v>
      </c>
      <c r="F204" s="21">
        <f t="shared" si="7"/>
        <v>0</v>
      </c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99">
        <v>69</v>
      </c>
      <c r="C205" s="105" t="s">
        <v>202</v>
      </c>
      <c r="D205" s="98">
        <v>1200</v>
      </c>
      <c r="E205" s="35">
        <v>0</v>
      </c>
      <c r="F205" s="21">
        <f t="shared" si="7"/>
        <v>0</v>
      </c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99">
        <v>70</v>
      </c>
      <c r="C206" s="105" t="s">
        <v>203</v>
      </c>
      <c r="D206" s="98">
        <v>1200</v>
      </c>
      <c r="E206" s="35">
        <v>0</v>
      </c>
      <c r="F206" s="21">
        <f t="shared" si="7"/>
        <v>0</v>
      </c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99">
        <v>71</v>
      </c>
      <c r="C207" s="105" t="s">
        <v>204</v>
      </c>
      <c r="D207" s="98">
        <v>1200</v>
      </c>
      <c r="E207" s="35">
        <v>0</v>
      </c>
      <c r="F207" s="21">
        <f t="shared" si="7"/>
        <v>0</v>
      </c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99">
        <v>72</v>
      </c>
      <c r="C208" s="105" t="s">
        <v>205</v>
      </c>
      <c r="D208" s="98">
        <v>1200</v>
      </c>
      <c r="E208" s="35">
        <v>0</v>
      </c>
      <c r="F208" s="21">
        <f t="shared" si="7"/>
        <v>0</v>
      </c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99">
        <v>73</v>
      </c>
      <c r="C209" s="105" t="s">
        <v>206</v>
      </c>
      <c r="D209" s="98">
        <v>1200</v>
      </c>
      <c r="E209" s="35">
        <v>0</v>
      </c>
      <c r="F209" s="21">
        <f t="shared" si="7"/>
        <v>0</v>
      </c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99">
        <v>74</v>
      </c>
      <c r="C210" s="105" t="s">
        <v>207</v>
      </c>
      <c r="D210" s="98">
        <v>1200</v>
      </c>
      <c r="E210" s="35">
        <v>0</v>
      </c>
      <c r="F210" s="21">
        <f t="shared" si="7"/>
        <v>0</v>
      </c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99">
        <v>75</v>
      </c>
      <c r="C211" s="105" t="s">
        <v>208</v>
      </c>
      <c r="D211" s="98">
        <v>1200</v>
      </c>
      <c r="E211" s="35">
        <v>0</v>
      </c>
      <c r="F211" s="21">
        <f t="shared" si="7"/>
        <v>0</v>
      </c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99">
        <v>76</v>
      </c>
      <c r="C212" s="106" t="s">
        <v>209</v>
      </c>
      <c r="D212" s="98">
        <v>1200</v>
      </c>
      <c r="E212" s="35">
        <v>0</v>
      </c>
      <c r="F212" s="21">
        <f t="shared" si="7"/>
        <v>0</v>
      </c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99">
        <v>77</v>
      </c>
      <c r="C213" s="107" t="s">
        <v>210</v>
      </c>
      <c r="D213" s="98">
        <v>550</v>
      </c>
      <c r="E213" s="35">
        <v>0</v>
      </c>
      <c r="F213" s="21">
        <f t="shared" si="7"/>
        <v>0</v>
      </c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99">
        <v>78</v>
      </c>
      <c r="C214" s="108" t="s">
        <v>211</v>
      </c>
      <c r="D214" s="98">
        <v>650</v>
      </c>
      <c r="E214" s="35">
        <v>0</v>
      </c>
      <c r="F214" s="109">
        <f t="shared" si="7"/>
        <v>0</v>
      </c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27" customHeight="1">
      <c r="A215" s="1"/>
      <c r="B215" s="135" t="s">
        <v>212</v>
      </c>
      <c r="C215" s="135"/>
      <c r="D215" s="110"/>
      <c r="E215" s="111"/>
      <c r="F215" s="112">
        <f>SUM(F136:F214)</f>
        <v>0</v>
      </c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4.25" customHeight="1">
      <c r="A221" s="1"/>
      <c r="B221" s="133" t="s">
        <v>0</v>
      </c>
      <c r="C221" s="133"/>
      <c r="D221" s="133">
        <f>F24+F52+F64+F88+F128+F133+F215</f>
        <v>39235</v>
      </c>
      <c r="E221" s="133"/>
      <c r="F221" s="133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3.5" customHeight="1">
      <c r="A222" s="1"/>
      <c r="B222" s="133"/>
      <c r="C222" s="133"/>
      <c r="D222" s="133"/>
      <c r="E222" s="133"/>
      <c r="F222" s="133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3.5" customHeight="1">
      <c r="A223" s="1"/>
      <c r="B223" s="133"/>
      <c r="C223" s="133"/>
      <c r="D223" s="133"/>
      <c r="E223" s="133"/>
      <c r="F223" s="133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customHeight="1">
      <c r="A224" s="1"/>
      <c r="B224" s="133"/>
      <c r="C224" s="133"/>
      <c r="D224" s="133"/>
      <c r="E224" s="133"/>
      <c r="F224" s="133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customHeight="1">
      <c r="A225" s="1"/>
      <c r="B225" s="133"/>
      <c r="C225" s="133"/>
      <c r="D225" s="133"/>
      <c r="E225" s="133"/>
      <c r="F225" s="133"/>
      <c r="G225" s="1"/>
      <c r="H225" s="1"/>
      <c r="I225" s="1"/>
      <c r="J225" s="1"/>
      <c r="K225" s="1"/>
      <c r="L225" s="1"/>
      <c r="M225" s="1"/>
      <c r="N225" s="1"/>
      <c r="O225" s="1"/>
    </row>
    <row r="228" spans="1:15" ht="15" customHeight="1">
      <c r="F228" s="113"/>
    </row>
  </sheetData>
  <mergeCells count="28">
    <mergeCell ref="B221:C225"/>
    <mergeCell ref="D221:F225"/>
    <mergeCell ref="B128:C128"/>
    <mergeCell ref="B130:C130"/>
    <mergeCell ref="B133:C133"/>
    <mergeCell ref="B135:C135"/>
    <mergeCell ref="B215:C215"/>
    <mergeCell ref="B54:C54"/>
    <mergeCell ref="B64:C64"/>
    <mergeCell ref="B66:C66"/>
    <mergeCell ref="B88:C88"/>
    <mergeCell ref="B90:C90"/>
    <mergeCell ref="G8:H8"/>
    <mergeCell ref="B10:C10"/>
    <mergeCell ref="B24:C24"/>
    <mergeCell ref="B26:C26"/>
    <mergeCell ref="B52:C52"/>
    <mergeCell ref="B8:B9"/>
    <mergeCell ref="C8:C9"/>
    <mergeCell ref="D8:D9"/>
    <mergeCell ref="E8:E9"/>
    <mergeCell ref="F8:F9"/>
    <mergeCell ref="B1:H1"/>
    <mergeCell ref="B2:H5"/>
    <mergeCell ref="B6:H6"/>
    <mergeCell ref="B7:C7"/>
    <mergeCell ref="D7:E7"/>
    <mergeCell ref="G7:H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Region Secretary</cp:lastModifiedBy>
  <cp:revision>6</cp:revision>
  <dcterms:created xsi:type="dcterms:W3CDTF">2025-10-04T11:39:33Z</dcterms:created>
  <dcterms:modified xsi:type="dcterms:W3CDTF">2026-09-16T13:58:39Z</dcterms:modified>
  <cp:category/>
  <cp:contentStatus/>
</cp:coreProperties>
</file>