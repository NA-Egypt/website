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<sst xmlns="http://schemas.openxmlformats.org/spreadsheetml/2006/main" count="218" uniqueCount="214">
  <si>
    <t xml:space="preserve">إجمالي المبيعات النهائي</t>
  </si>
  <si>
    <t xml:space="preserve">اللجنة الإقليمية لأدبيات زمالة المدمنين المجهولين مصر</t>
  </si>
  <si>
    <t xml:space="preserve">تقرير مبيعات اللجنة لشهر</t>
  </si>
  <si>
    <t xml:space="preserve">اكتوبر </t>
  </si>
  <si>
    <t xml:space="preserve">التاريخ :</t>
  </si>
  <si>
    <t xml:space="preserve">البند</t>
  </si>
  <si>
    <t xml:space="preserve">السعر</t>
  </si>
  <si>
    <t xml:space="preserve">إجمالي أعداد المبيعات</t>
  </si>
  <si>
    <t xml:space="preserve">إجمالي المبيعات </t>
  </si>
  <si>
    <t xml:space="preserve">مجاني</t>
  </si>
  <si>
    <t xml:space="preserve">إجمالي كتب مجانية </t>
  </si>
  <si>
    <t xml:space="preserve">إجمالي متأخرات</t>
  </si>
  <si>
    <t xml:space="preserve">الكتب</t>
  </si>
  <si>
    <t xml:space="preserve">العدد</t>
  </si>
  <si>
    <t xml:space="preserve">مبيعات بالجنية</t>
  </si>
  <si>
    <t xml:space="preserve">النص الأساسى</t>
  </si>
  <si>
    <t xml:space="preserve">إنه يعمل - كيف ولماذا</t>
  </si>
  <si>
    <t xml:space="preserve">دليل العمل بالخطوات</t>
  </si>
  <si>
    <t xml:space="preserve">كتاب لليوم فقط</t>
  </si>
  <si>
    <t xml:space="preserve">الدليل التمهيدى</t>
  </si>
  <si>
    <t xml:space="preserve">روح تقاليدنا</t>
  </si>
  <si>
    <t xml:space="preserve">العيش ممتنعاً </t>
  </si>
  <si>
    <t xml:space="preserve">النص الأساسى (جيب)</t>
  </si>
  <si>
    <t xml:space="preserve">إنة يعمل - كيف ولماذا (جيب)</t>
  </si>
  <si>
    <t xml:space="preserve">النص الاسأسى (تذكاري)</t>
  </si>
  <si>
    <t xml:space="preserve">إنة يعمل - كيف ولماذا (تذكاري)</t>
  </si>
  <si>
    <t xml:space="preserve">دليل العمل بالخطوات (تذكاري)</t>
  </si>
  <si>
    <t xml:space="preserve">كتاب لليوم فقط (تذكاري)</t>
  </si>
  <si>
    <t xml:space="preserve">روح تقاليدنا (تذكاري)</t>
  </si>
  <si>
    <t xml:space="preserve">العيش ممتنعاً (تذكاري)</t>
  </si>
  <si>
    <t xml:space="preserve">إجمالي مبيعات الكتب</t>
  </si>
  <si>
    <t xml:space="preserve">الكتيبات (IP)</t>
  </si>
  <si>
    <t xml:space="preserve">للعضو الجديد</t>
  </si>
  <si>
    <t xml:space="preserve">هل انا مدمن</t>
  </si>
  <si>
    <t xml:space="preserve">مرحبا بك فى زمالة م.م.</t>
  </si>
  <si>
    <t xml:space="preserve">لليوم فقط</t>
  </si>
  <si>
    <t xml:space="preserve">التوجية</t>
  </si>
  <si>
    <t xml:space="preserve">نظرة أخرى</t>
  </si>
  <si>
    <t xml:space="preserve">التعافى والانتكاس</t>
  </si>
  <si>
    <t xml:space="preserve">تقبل الذات</t>
  </si>
  <si>
    <t xml:space="preserve">مثلث الهاجس الذاتي</t>
  </si>
  <si>
    <t xml:space="preserve">مقدمة لاجتماعات زمالة م.م</t>
  </si>
  <si>
    <t xml:space="preserve">من - ماذا - كيف ولماذا</t>
  </si>
  <si>
    <t xml:space="preserve">تجربة مدمن مع التقبل والإيمان والالتزام</t>
  </si>
  <si>
    <t xml:space="preserve">البقاء ممتنعا في الخارج</t>
  </si>
  <si>
    <t xml:space="preserve">رسالة لمن هم بالمصحات</t>
  </si>
  <si>
    <t xml:space="preserve">التواصل الاجتماعى</t>
  </si>
  <si>
    <t xml:space="preserve">الخدم الموثوق بهم</t>
  </si>
  <si>
    <t xml:space="preserve">الامور المالية</t>
  </si>
  <si>
    <t xml:space="preserve">تمويل الخدمات</t>
  </si>
  <si>
    <t xml:space="preserve">السلوك المعيق</t>
  </si>
  <si>
    <t xml:space="preserve">المجموعة</t>
  </si>
  <si>
    <t xml:space="preserve">معايشة البرنامج</t>
  </si>
  <si>
    <t xml:space="preserve">المنعزل - البقاء ممتنعاً في الخارج</t>
  </si>
  <si>
    <t xml:space="preserve">من المدمنين الشباب إلى المدمنين الشباب</t>
  </si>
  <si>
    <t xml:space="preserve">للآباء أو أولياء أمور المدمنين الشباب</t>
  </si>
  <si>
    <t xml:space="preserve">امكانيه الوصول لذوي الاحتياجات الاضافيه</t>
  </si>
  <si>
    <t xml:space="preserve">إجمالي مبيعات الكتيبات</t>
  </si>
  <si>
    <t xml:space="preserve">الشيبات Chips</t>
  </si>
  <si>
    <t xml:space="preserve">Welcome / White</t>
  </si>
  <si>
    <t xml:space="preserve">30 Days / Orange</t>
  </si>
  <si>
    <t xml:space="preserve">60 Days / Green</t>
  </si>
  <si>
    <t xml:space="preserve">90 Days / Red</t>
  </si>
  <si>
    <t xml:space="preserve">6 Months / Blue</t>
  </si>
  <si>
    <t xml:space="preserve">9 Months / Yellow</t>
  </si>
  <si>
    <t xml:space="preserve">1 Year / Moonglow</t>
  </si>
  <si>
    <t xml:space="preserve">18 Months / Grey</t>
  </si>
  <si>
    <t xml:space="preserve">Muiltple Years / Black</t>
  </si>
  <si>
    <t xml:space="preserve">إجمالي مبيعات الشيبات </t>
  </si>
  <si>
    <t xml:space="preserve">English Books</t>
  </si>
  <si>
    <t xml:space="preserve">Basic Text - Reg Size </t>
  </si>
  <si>
    <t xml:space="preserve">Basic Text - Pocket Size </t>
  </si>
  <si>
    <t xml:space="preserve">Basic Text - Gift Edition</t>
  </si>
  <si>
    <t xml:space="preserve">JFT - Reg Size </t>
  </si>
  <si>
    <t xml:space="preserve">JFT - Pocket Size </t>
  </si>
  <si>
    <t xml:space="preserve">JFT - Gift Edition</t>
  </si>
  <si>
    <t xml:space="preserve">How &amp; Why - Reg Size </t>
  </si>
  <si>
    <t xml:space="preserve">How &amp; Why  - Pocket Size </t>
  </si>
  <si>
    <t xml:space="preserve">Sponsorship</t>
  </si>
  <si>
    <t xml:space="preserve">Sponsorship - Gift Edition</t>
  </si>
  <si>
    <t xml:space="preserve">Step Working Guide</t>
  </si>
  <si>
    <t xml:space="preserve">Introductory Guide To NA</t>
  </si>
  <si>
    <t xml:space="preserve">Living Clean</t>
  </si>
  <si>
    <t xml:space="preserve">Guiding Principle</t>
  </si>
  <si>
    <t xml:space="preserve">Spiritual Principle A Day (SPAD)</t>
  </si>
  <si>
    <t xml:space="preserve">Miracle Happens Hard</t>
  </si>
  <si>
    <t xml:space="preserve">Commemorative Living Clean</t>
  </si>
  <si>
    <t xml:space="preserve">Guiding Principles Special Edition</t>
  </si>
  <si>
    <t xml:space="preserve">SPAD Special Edition</t>
  </si>
  <si>
    <t xml:space="preserve">JFT Journal</t>
  </si>
  <si>
    <t xml:space="preserve">The Basic Library</t>
  </si>
  <si>
    <t xml:space="preserve">إجمالي مبيعات الكتب الإنجليزية</t>
  </si>
  <si>
    <t xml:space="preserve">English IP (s)</t>
  </si>
  <si>
    <t xml:space="preserve">For the Newcomer</t>
  </si>
  <si>
    <t xml:space="preserve">Welcome to NA</t>
  </si>
  <si>
    <t xml:space="preserve">A resource in your community</t>
  </si>
  <si>
    <t xml:space="preserve">Accessibility for Those with Additional Needs</t>
  </si>
  <si>
    <t xml:space="preserve">Am I an Addict ?</t>
  </si>
  <si>
    <t xml:space="preserve">Another Look</t>
  </si>
  <si>
    <t xml:space="preserve">Behind the Walls</t>
  </si>
  <si>
    <t xml:space="preserve">By Young Addicts for Young Addicts</t>
  </si>
  <si>
    <t xml:space="preserve">Disruptive &amp; Violent</t>
  </si>
  <si>
    <t xml:space="preserve">For the Parents or Guardians of Young People in NA</t>
  </si>
  <si>
    <t xml:space="preserve">For Those in Treatment</t>
  </si>
  <si>
    <t xml:space="preserve">Funding NA Services</t>
  </si>
  <si>
    <t xml:space="preserve">Group Business</t>
  </si>
  <si>
    <t xml:space="preserve">Hospitals and Institutions Service and the NA member</t>
  </si>
  <si>
    <t xml:space="preserve">In Time of Illness</t>
  </si>
  <si>
    <t xml:space="preserve">Introduction to NA Meetings</t>
  </si>
  <si>
    <t xml:space="preserve">Just For Today (IP)</t>
  </si>
  <si>
    <t xml:space="preserve">Living the program</t>
  </si>
  <si>
    <t xml:space="preserve">Money Matters Self-Support in NA
</t>
  </si>
  <si>
    <t xml:space="preserve">NA Groups &amp; Medication</t>
  </si>
  <si>
    <t xml:space="preserve">One Addict’s Experience with Acceptance, Faith, and Commitment</t>
  </si>
  <si>
    <t xml:space="preserve">PI and  the NA Member</t>
  </si>
  <si>
    <t xml:space="preserve">Principles &amp; Leadership in Na Service</t>
  </si>
  <si>
    <t xml:space="preserve">Recovery &amp; Relapse</t>
  </si>
  <si>
    <t xml:space="preserve">Self-Acceptance</t>
  </si>
  <si>
    <t xml:space="preserve">Social Media &amp; Our Guiding Principles</t>
  </si>
  <si>
    <t xml:space="preserve">Staying Clean on the Outside</t>
  </si>
  <si>
    <t xml:space="preserve">The group</t>
  </si>
  <si>
    <t xml:space="preserve">The group booklet</t>
  </si>
  <si>
    <t xml:space="preserve">Twelve Concepts for Na Service</t>
  </si>
  <si>
    <t xml:space="preserve">The Loner - Staying Clean in Isolation</t>
  </si>
  <si>
    <t xml:space="preserve">The Triangle of Self-Obsession</t>
  </si>
  <si>
    <t xml:space="preserve">Treasurer's Hanbook</t>
  </si>
  <si>
    <t xml:space="preserve">White Booklet</t>
  </si>
  <si>
    <t xml:space="preserve">Who, what,How &amp; Why</t>
  </si>
  <si>
    <t xml:space="preserve">Working Step Four in NA</t>
  </si>
  <si>
    <t xml:space="preserve">إجمالي مبيعات الكتيبات الإنجليزية</t>
  </si>
  <si>
    <t xml:space="preserve">Readings القراءات</t>
  </si>
  <si>
    <t xml:space="preserve">مجموعة قراءات (عربي)</t>
  </si>
  <si>
    <t xml:space="preserve">مجموعة قراءات (انجليزي)</t>
  </si>
  <si>
    <t xml:space="preserve">إجمالي مبيعات القراءات</t>
  </si>
  <si>
    <t xml:space="preserve">Medals &amp; Coins</t>
  </si>
  <si>
    <t xml:space="preserve">سنة برونز</t>
  </si>
  <si>
    <t xml:space="preserve"> 18 شهر برونز</t>
  </si>
  <si>
    <t xml:space="preserve"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</si>
  <si>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</si>
  <si>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</si>
  <si>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</si>
  <si>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</si>
  <si>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</si>
  <si>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</si>
  <si>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</si>
  <si>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</si>
  <si>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</si>
  <si>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</si>
  <si>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</si>
  <si>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</si>
  <si>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</si>
  <si>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</si>
  <si>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</si>
  <si>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</si>
  <si>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</si>
  <si>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</si>
  <si>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</si>
  <si>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</si>
  <si>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</si>
  <si>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</si>
  <si>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</si>
  <si>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</si>
  <si>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</si>
  <si>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</si>
  <si>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</si>
  <si>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</si>
  <si>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</si>
  <si>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</si>
  <si>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</si>
  <si>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</si>
  <si>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</si>
  <si>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</si>
  <si>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</si>
  <si>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</si>
  <si>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</si>
  <si>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</si>
  <si>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</si>
  <si>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</si>
  <si>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</si>
  <si>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</si>
  <si>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</si>
  <si>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</si>
  <si>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</si>
  <si>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</si>
  <si>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</si>
  <si>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</si>
  <si>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</si>
  <si>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</si>
  <si>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</si>
  <si>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</si>
  <si>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 xml:space="preserve"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</si>
  <si>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</si>
  <si>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</si>
  <si>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</si>
  <si>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</si>
  <si>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</si>
  <si>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</si>
  <si>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</si>
  <si>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</si>
  <si>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</si>
  <si>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</si>
  <si>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</si>
  <si>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</si>
  <si>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</si>
  <si>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</si>
  <si>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</si>
  <si>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</si>
  <si>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</si>
  <si>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</si>
  <si>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</si>
  <si>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</si>
  <si>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 xml:space="preserve">ميدالية (Keychain)</t>
  </si>
  <si>
    <t xml:space="preserve"> كوين/ميدالية التوجيه (Sponsorship Bundle)</t>
  </si>
  <si>
    <t xml:space="preserve">إجمالي مبيعات الماديليات و الكوينات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</si>
</sst>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d\-mmm\-yy"/>
    <numFmt numFmtId="167" formatCode="0"/>
    <numFmt numFmtId="168" formatCode="0\٫00"/>
  </numFmts>
  <fonts count="27">
    <font>
      <sz val="1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22"/>
      <name val="Arial"/>
      <family val="0"/>
      <charset val="1"/>
    </font>
    <font>
      <sz val="48"/>
      <name val="Arial"/>
      <family val="0"/>
      <charset val="1"/>
    </font>
    <font>
      <b val="true"/>
      <sz val="26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6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sz val="12"/>
      <name val="Calibri"/>
      <family val="0"/>
      <charset val="1"/>
    </font>
    <font>
      <sz val="14"/>
      <name val="Calibri"/>
      <family val="0"/>
      <charset val="1"/>
    </font>
    <font>
      <u val="single"/>
      <sz val="11"/>
      <name val="Calibri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name val="Arial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24"/>
      <name val="Calibri"/>
      <family val="0"/>
      <charset val="1"/>
    </font>
    <font>
      <b val="true"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thin"/>
      <top style="thin"/>
      <bottom style="thin">
        <color rgb="FF505050"/>
      </bottom>
      <diagonal/>
    </border>
    <border diagonalUp="false" diagonalDown="false">
      <left style="thin"/>
      <right style="double"/>
      <top style="thin"/>
      <bottom style="thin">
        <color rgb="FF505050"/>
      </bottom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double"/>
      <right/>
      <top style="thin"/>
      <bottom/>
      <diagonal/>
    </border>
    <border diagonalUp="false" diagonalDown="false">
      <left style="double"/>
      <right/>
      <top/>
      <bottom style="double">
        <color rgb="FF505050"/>
      </bottom>
      <diagonal/>
    </border>
    <border diagonalUp="false" diagonalDown="false">
      <left/>
      <right/>
      <top style="double"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>
        <color rgb="FF505050"/>
      </bottom>
      <diagonal/>
    </border>
    <border diagonalUp="false" diagonalDown="false">
      <left style="thin"/>
      <right/>
      <top/>
      <bottom style="double"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 diagonalUp="false" diagonalDown="false">
      <left style="double"/>
      <right/>
      <top style="double">
        <color rgb="FF505050"/>
      </top>
      <bottom style="double">
        <color rgb="FF505050"/>
      </bottom>
      <diagonal/>
    </border>
    <border diagonalUp="false" diagonalDown="false">
      <left style="double"/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7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2" borderId="10" xf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16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0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6" fillId="1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3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6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7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3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8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1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1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1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5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2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3" fillId="1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23" borderId="16" xfId="0" applyFont="true" applyBorder="true" applyAlignment="true" applyProtection="true">
      <alignment horizontal="left" vertical="center" textRotation="0" wrapText="false" indent="0" shrinkToFit="false" readingOrder="2"/>
      <protection locked="true" hidden="false"/>
    </xf>
    <xf numFmtId="164" fontId="21" fillId="23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1" fillId="24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1" fillId="5" borderId="16" xfId="0" applyFont="true" applyBorder="true" applyAlignment="true" applyProtection="true">
      <alignment horizontal="left" vertical="bottom" textRotation="0" wrapText="false" indent="0" shrinkToFit="false" readingOrder="2"/>
      <protection locked="true" hidden="false"/>
    </xf>
    <xf numFmtId="164" fontId="24" fillId="13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13" borderId="3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13" borderId="3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2" fillId="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4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5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9"/>
  <sheetViews>
    <sheetView showFormulas="false" showGridLines="true" showRowColHeaders="true" showZeros="true" rightToLeft="true" tabSelected="true" showOutlineSymbols="true" defaultGridColor="true" view="normal" topLeftCell="A202" colorId="64" zoomScale="80" zoomScaleNormal="80" zoomScalePageLayoutView="100" workbookViewId="0">
      <selection pane="topLeft" activeCell="H214" activeCellId="0" sqref="H214"/>
    </sheetView>
  </sheetViews>
  <sheetFormatPr defaultColWidth="11.74609375" defaultRowHeight="15" customHeight="true" zeroHeight="false" outlineLevelRow="0" outlineLevelCol="0"/>
  <cols>
    <col collapsed="false" customWidth="true" hidden="false" outlineLevel="0" max="2" min="1" style="1" width="5.07"/>
    <col collapsed="false" customWidth="true" hidden="false" outlineLevel="0" max="3" min="3" style="1" width="41.98"/>
    <col collapsed="false" customWidth="true" hidden="false" outlineLevel="0" max="4" min="4" style="1" width="9.74"/>
    <col collapsed="false" customWidth="true" hidden="false" outlineLevel="0" max="5" min="5" style="1" width="14.68"/>
    <col collapsed="false" customWidth="true" hidden="false" outlineLevel="0" max="6" min="6" style="1" width="19.07"/>
    <col collapsed="false" customWidth="true" hidden="false" outlineLevel="0" max="7" min="7" style="1" width="16.73"/>
    <col collapsed="false" customWidth="true" hidden="false" outlineLevel="0" max="8" min="8" style="1" width="16.32"/>
    <col collapsed="false" customWidth="true" hidden="false" outlineLevel="0" max="15" min="9" style="1" width="9.74"/>
  </cols>
  <sheetData>
    <row r="1" customFormat="false" ht="36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</row>
    <row r="2" customFormat="false" ht="14.25" hidden="false" customHeight="true" outlineLevel="0" collapsed="false">
      <c r="A2" s="2"/>
      <c r="B2" s="4" t="n">
        <f aca="false">D222</f>
        <v>50278</v>
      </c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</row>
    <row r="3" customFormat="false" ht="13.5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</row>
    <row r="4" customFormat="false" ht="13.5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</row>
    <row r="5" customFormat="false" ht="14.25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</row>
    <row r="6" customFormat="false" ht="45" hidden="false" customHeight="true" outlineLevel="0" collapsed="false">
      <c r="A6" s="2"/>
      <c r="B6" s="5" t="s">
        <v>1</v>
      </c>
      <c r="C6" s="5"/>
      <c r="D6" s="5"/>
      <c r="E6" s="5"/>
      <c r="F6" s="5"/>
      <c r="G6" s="5"/>
      <c r="H6" s="5"/>
      <c r="I6" s="2"/>
      <c r="J6" s="2"/>
      <c r="K6" s="2"/>
      <c r="L6" s="2"/>
      <c r="M6" s="2"/>
      <c r="N6" s="2"/>
      <c r="O6" s="2"/>
    </row>
    <row r="7" customFormat="false" ht="36" hidden="false" customHeight="true" outlineLevel="0" collapsed="false">
      <c r="A7" s="2"/>
      <c r="B7" s="6" t="s">
        <v>2</v>
      </c>
      <c r="C7" s="6"/>
      <c r="D7" s="7" t="s">
        <v>3</v>
      </c>
      <c r="E7" s="7"/>
      <c r="F7" s="8" t="s">
        <v>4</v>
      </c>
      <c r="G7" s="9" t="n">
        <v>45957</v>
      </c>
      <c r="H7" s="9"/>
      <c r="I7" s="2"/>
      <c r="J7" s="2"/>
      <c r="K7" s="2"/>
      <c r="L7" s="2"/>
      <c r="M7" s="2"/>
      <c r="N7" s="2"/>
      <c r="O7" s="2"/>
    </row>
    <row r="8" customFormat="false" ht="30" hidden="false" customHeight="true" outlineLevel="0" collapsed="false">
      <c r="A8" s="2"/>
      <c r="B8" s="10"/>
      <c r="C8" s="11" t="s">
        <v>5</v>
      </c>
      <c r="D8" s="12" t="s">
        <v>6</v>
      </c>
      <c r="E8" s="13" t="s">
        <v>7</v>
      </c>
      <c r="F8" s="14" t="s">
        <v>8</v>
      </c>
      <c r="G8" s="15" t="s">
        <v>9</v>
      </c>
      <c r="H8" s="15"/>
      <c r="I8" s="2"/>
      <c r="J8" s="2"/>
      <c r="K8" s="2"/>
      <c r="L8" s="2"/>
      <c r="M8" s="2"/>
      <c r="N8" s="2"/>
      <c r="O8" s="2"/>
    </row>
    <row r="9" customFormat="false" ht="54" hidden="false" customHeight="true" outlineLevel="0" collapsed="false">
      <c r="A9" s="2"/>
      <c r="B9" s="10"/>
      <c r="C9" s="11"/>
      <c r="D9" s="12"/>
      <c r="E9" s="12"/>
      <c r="F9" s="12"/>
      <c r="G9" s="16" t="s">
        <v>10</v>
      </c>
      <c r="H9" s="17" t="s">
        <v>11</v>
      </c>
      <c r="I9" s="2"/>
      <c r="J9" s="2"/>
      <c r="K9" s="2"/>
      <c r="L9" s="2"/>
      <c r="M9" s="2"/>
      <c r="N9" s="2"/>
      <c r="O9" s="2"/>
    </row>
    <row r="10" customFormat="false" ht="24" hidden="false" customHeight="true" outlineLevel="0" collapsed="false">
      <c r="A10" s="2"/>
      <c r="B10" s="18" t="s">
        <v>12</v>
      </c>
      <c r="C10" s="18"/>
      <c r="D10" s="19"/>
      <c r="E10" s="20" t="s">
        <v>13</v>
      </c>
      <c r="F10" s="21" t="s">
        <v>14</v>
      </c>
      <c r="G10" s="22" t="s">
        <v>13</v>
      </c>
      <c r="H10" s="23" t="s">
        <v>13</v>
      </c>
      <c r="I10" s="2"/>
      <c r="J10" s="2"/>
      <c r="K10" s="2"/>
      <c r="L10" s="2"/>
      <c r="M10" s="2"/>
      <c r="N10" s="2"/>
      <c r="O10" s="2"/>
    </row>
    <row r="11" customFormat="false" ht="17.35" hidden="false" customHeight="false" outlineLevel="0" collapsed="false">
      <c r="A11" s="2"/>
      <c r="B11" s="24" t="n">
        <v>1</v>
      </c>
      <c r="C11" s="25" t="s">
        <v>15</v>
      </c>
      <c r="D11" s="26" t="n">
        <v>75</v>
      </c>
      <c r="E11" s="27" t="n">
        <v>112</v>
      </c>
      <c r="F11" s="28" t="n">
        <f aca="false">D11*E11</f>
        <v>8400</v>
      </c>
      <c r="G11" s="29"/>
      <c r="H11" s="30" t="n">
        <v>0</v>
      </c>
      <c r="I11" s="2"/>
      <c r="J11" s="2"/>
      <c r="K11" s="2"/>
      <c r="L11" s="2"/>
      <c r="M11" s="2"/>
      <c r="N11" s="2"/>
      <c r="O11" s="31"/>
    </row>
    <row r="12" customFormat="false" ht="17.35" hidden="false" customHeight="false" outlineLevel="0" collapsed="false">
      <c r="A12" s="2"/>
      <c r="B12" s="32" t="n">
        <v>2</v>
      </c>
      <c r="C12" s="33" t="s">
        <v>16</v>
      </c>
      <c r="D12" s="34" t="n">
        <v>160</v>
      </c>
      <c r="E12" s="27" t="n">
        <v>47</v>
      </c>
      <c r="F12" s="35" t="n">
        <f aca="false">D12*E12</f>
        <v>7520</v>
      </c>
      <c r="G12" s="36"/>
      <c r="H12" s="37" t="n">
        <v>0</v>
      </c>
      <c r="I12" s="2"/>
      <c r="J12" s="2"/>
      <c r="K12" s="2"/>
      <c r="L12" s="2"/>
      <c r="M12" s="2"/>
      <c r="N12" s="2"/>
      <c r="O12" s="2"/>
    </row>
    <row r="13" customFormat="false" ht="17.35" hidden="false" customHeight="false" outlineLevel="0" collapsed="false">
      <c r="A13" s="2"/>
      <c r="B13" s="32" t="n">
        <v>3</v>
      </c>
      <c r="C13" s="33" t="s">
        <v>17</v>
      </c>
      <c r="D13" s="34" t="n">
        <v>150</v>
      </c>
      <c r="E13" s="27" t="n">
        <v>43</v>
      </c>
      <c r="F13" s="35" t="n">
        <f aca="false">D13*E13</f>
        <v>6450</v>
      </c>
      <c r="G13" s="36"/>
      <c r="H13" s="37" t="n">
        <v>0</v>
      </c>
      <c r="I13" s="2"/>
      <c r="J13" s="2"/>
      <c r="K13" s="2"/>
      <c r="L13" s="2"/>
      <c r="M13" s="2"/>
      <c r="N13" s="2"/>
      <c r="O13" s="2"/>
    </row>
    <row r="14" customFormat="false" ht="17.35" hidden="false" customHeight="false" outlineLevel="0" collapsed="false">
      <c r="A14" s="2"/>
      <c r="B14" s="32" t="n">
        <v>4</v>
      </c>
      <c r="C14" s="33" t="s">
        <v>18</v>
      </c>
      <c r="D14" s="34" t="n">
        <v>100</v>
      </c>
      <c r="E14" s="27" t="n">
        <v>52</v>
      </c>
      <c r="F14" s="35" t="n">
        <f aca="false">D14*E14</f>
        <v>5200</v>
      </c>
      <c r="G14" s="38"/>
      <c r="H14" s="37" t="n">
        <v>0</v>
      </c>
      <c r="I14" s="2"/>
      <c r="J14" s="2"/>
      <c r="K14" s="2"/>
      <c r="L14" s="2"/>
      <c r="M14" s="2"/>
      <c r="N14" s="2"/>
      <c r="O14" s="2"/>
    </row>
    <row r="15" customFormat="false" ht="17.35" hidden="false" customHeight="false" outlineLevel="0" collapsed="false">
      <c r="A15" s="2"/>
      <c r="B15" s="32" t="n">
        <v>5</v>
      </c>
      <c r="C15" s="33" t="s">
        <v>19</v>
      </c>
      <c r="D15" s="34" t="n">
        <v>55</v>
      </c>
      <c r="E15" s="27" t="n">
        <v>15</v>
      </c>
      <c r="F15" s="35" t="n">
        <f aca="false">D15*E15</f>
        <v>825</v>
      </c>
      <c r="G15" s="36"/>
      <c r="H15" s="37" t="n">
        <v>0</v>
      </c>
      <c r="I15" s="2"/>
      <c r="J15" s="2"/>
      <c r="K15" s="2"/>
      <c r="L15" s="2"/>
      <c r="M15" s="2"/>
      <c r="N15" s="2"/>
      <c r="O15" s="2"/>
    </row>
    <row r="16" customFormat="false" ht="17.35" hidden="false" customHeight="false" outlineLevel="0" collapsed="false">
      <c r="A16" s="2"/>
      <c r="B16" s="32" t="n">
        <v>6</v>
      </c>
      <c r="C16" s="33" t="s">
        <v>20</v>
      </c>
      <c r="D16" s="34" t="n">
        <v>130</v>
      </c>
      <c r="E16" s="27" t="n">
        <v>6</v>
      </c>
      <c r="F16" s="35" t="n">
        <f aca="false">D16*E16</f>
        <v>780</v>
      </c>
      <c r="G16" s="36"/>
      <c r="H16" s="37" t="n">
        <v>0</v>
      </c>
      <c r="I16" s="2"/>
      <c r="J16" s="2"/>
      <c r="K16" s="2"/>
      <c r="L16" s="2"/>
      <c r="M16" s="2"/>
      <c r="N16" s="2"/>
      <c r="O16" s="2"/>
    </row>
    <row r="17" customFormat="false" ht="17.35" hidden="false" customHeight="false" outlineLevel="0" collapsed="false">
      <c r="A17" s="2"/>
      <c r="B17" s="32" t="n">
        <v>7</v>
      </c>
      <c r="C17" s="33" t="s">
        <v>21</v>
      </c>
      <c r="D17" s="34" t="n">
        <v>85</v>
      </c>
      <c r="E17" s="27" t="n">
        <v>37</v>
      </c>
      <c r="F17" s="35" t="n">
        <f aca="false">D17*E17</f>
        <v>3145</v>
      </c>
      <c r="G17" s="36"/>
      <c r="H17" s="37" t="n">
        <v>0</v>
      </c>
      <c r="I17" s="2"/>
      <c r="J17" s="2"/>
      <c r="K17" s="2"/>
      <c r="L17" s="2"/>
      <c r="M17" s="2"/>
      <c r="N17" s="2"/>
      <c r="O17" s="2"/>
    </row>
    <row r="18" customFormat="false" ht="17.35" hidden="false" customHeight="false" outlineLevel="0" collapsed="false">
      <c r="A18" s="2"/>
      <c r="B18" s="39" t="n">
        <v>8</v>
      </c>
      <c r="C18" s="40" t="s">
        <v>22</v>
      </c>
      <c r="D18" s="34" t="n">
        <v>25</v>
      </c>
      <c r="E18" s="27" t="n">
        <v>38</v>
      </c>
      <c r="F18" s="35" t="n">
        <f aca="false">D18*E18</f>
        <v>950</v>
      </c>
      <c r="G18" s="36"/>
      <c r="H18" s="37" t="n">
        <v>0</v>
      </c>
      <c r="I18" s="2"/>
      <c r="J18" s="2"/>
      <c r="K18" s="2"/>
      <c r="L18" s="2"/>
      <c r="M18" s="2"/>
      <c r="N18" s="2"/>
      <c r="O18" s="2"/>
    </row>
    <row r="19" customFormat="false" ht="17.35" hidden="false" customHeight="false" outlineLevel="0" collapsed="false">
      <c r="A19" s="2"/>
      <c r="B19" s="39" t="n">
        <v>9</v>
      </c>
      <c r="C19" s="40" t="s">
        <v>23</v>
      </c>
      <c r="D19" s="34" t="n">
        <v>55</v>
      </c>
      <c r="E19" s="27" t="n">
        <v>0</v>
      </c>
      <c r="F19" s="35" t="n">
        <f aca="false">D19*E19</f>
        <v>0</v>
      </c>
      <c r="G19" s="36"/>
      <c r="H19" s="37" t="n">
        <v>0</v>
      </c>
      <c r="I19" s="2"/>
      <c r="J19" s="2"/>
      <c r="K19" s="2"/>
      <c r="L19" s="2"/>
      <c r="M19" s="2"/>
      <c r="N19" s="2"/>
      <c r="O19" s="2"/>
    </row>
    <row r="20" customFormat="false" ht="17.35" hidden="false" customHeight="false" outlineLevel="0" collapsed="false">
      <c r="A20" s="2"/>
      <c r="B20" s="41" t="n">
        <v>10</v>
      </c>
      <c r="C20" s="42" t="s">
        <v>24</v>
      </c>
      <c r="D20" s="34" t="n">
        <v>150</v>
      </c>
      <c r="E20" s="27" t="n">
        <v>0</v>
      </c>
      <c r="F20" s="35" t="n">
        <f aca="false">D20*E20</f>
        <v>0</v>
      </c>
      <c r="G20" s="36"/>
      <c r="H20" s="37" t="n">
        <v>0</v>
      </c>
      <c r="I20" s="2"/>
      <c r="J20" s="2"/>
      <c r="K20" s="2"/>
      <c r="L20" s="2"/>
      <c r="M20" s="2"/>
      <c r="N20" s="2"/>
      <c r="O20" s="2"/>
    </row>
    <row r="21" customFormat="false" ht="15.75" hidden="false" customHeight="true" outlineLevel="0" collapsed="false">
      <c r="A21" s="2"/>
      <c r="B21" s="41" t="n">
        <v>11</v>
      </c>
      <c r="C21" s="42" t="s">
        <v>25</v>
      </c>
      <c r="D21" s="34" t="n">
        <v>250</v>
      </c>
      <c r="E21" s="27" t="n">
        <v>2</v>
      </c>
      <c r="F21" s="35" t="n">
        <f aca="false">D21*E21</f>
        <v>500</v>
      </c>
      <c r="G21" s="36"/>
      <c r="H21" s="37" t="n">
        <v>0</v>
      </c>
      <c r="I21" s="2"/>
      <c r="J21" s="2"/>
      <c r="K21" s="2"/>
      <c r="L21" s="2"/>
      <c r="M21" s="2"/>
      <c r="N21" s="2"/>
      <c r="O21" s="2"/>
    </row>
    <row r="22" customFormat="false" ht="15.75" hidden="false" customHeight="true" outlineLevel="0" collapsed="false">
      <c r="A22" s="2"/>
      <c r="B22" s="41" t="n">
        <v>12</v>
      </c>
      <c r="C22" s="42" t="s">
        <v>26</v>
      </c>
      <c r="D22" s="34" t="n">
        <v>240</v>
      </c>
      <c r="E22" s="27" t="n">
        <v>1</v>
      </c>
      <c r="F22" s="35" t="n">
        <f aca="false">D22*E22</f>
        <v>240</v>
      </c>
      <c r="G22" s="36"/>
      <c r="H22" s="37" t="n">
        <v>0</v>
      </c>
      <c r="I22" s="2"/>
      <c r="J22" s="2"/>
      <c r="K22" s="2"/>
      <c r="L22" s="2"/>
      <c r="M22" s="2"/>
      <c r="N22" s="2"/>
      <c r="O22" s="2"/>
    </row>
    <row r="23" customFormat="false" ht="15.75" hidden="false" customHeight="true" outlineLevel="0" collapsed="false">
      <c r="A23" s="2"/>
      <c r="B23" s="43" t="n">
        <v>13</v>
      </c>
      <c r="C23" s="44" t="s">
        <v>27</v>
      </c>
      <c r="D23" s="34" t="n">
        <v>255</v>
      </c>
      <c r="E23" s="27" t="n">
        <v>3</v>
      </c>
      <c r="F23" s="35" t="n">
        <f aca="false">D23*E23</f>
        <v>765</v>
      </c>
      <c r="G23" s="36"/>
      <c r="H23" s="37" t="n">
        <v>0</v>
      </c>
      <c r="I23" s="2"/>
      <c r="J23" s="2"/>
      <c r="K23" s="2"/>
      <c r="L23" s="2"/>
      <c r="M23" s="2"/>
      <c r="N23" s="2"/>
      <c r="O23" s="2"/>
    </row>
    <row r="24" customFormat="false" ht="15.75" hidden="false" customHeight="true" outlineLevel="0" collapsed="false">
      <c r="A24" s="2"/>
      <c r="B24" s="45" t="n">
        <v>14</v>
      </c>
      <c r="C24" s="46" t="s">
        <v>28</v>
      </c>
      <c r="D24" s="34" t="n">
        <v>220</v>
      </c>
      <c r="E24" s="27" t="n">
        <v>0</v>
      </c>
      <c r="F24" s="35" t="n">
        <f aca="false">D24*E24</f>
        <v>0</v>
      </c>
      <c r="G24" s="36"/>
      <c r="H24" s="37" t="n">
        <v>0</v>
      </c>
      <c r="I24" s="2"/>
      <c r="J24" s="2"/>
      <c r="K24" s="2"/>
      <c r="L24" s="2"/>
      <c r="M24" s="2"/>
      <c r="N24" s="2"/>
      <c r="O24" s="2"/>
    </row>
    <row r="25" customFormat="false" ht="15.75" hidden="false" customHeight="true" outlineLevel="0" collapsed="false">
      <c r="A25" s="2"/>
      <c r="B25" s="45" t="n">
        <v>15</v>
      </c>
      <c r="C25" s="46" t="s">
        <v>29</v>
      </c>
      <c r="D25" s="34" t="n">
        <v>175</v>
      </c>
      <c r="E25" s="27" t="n">
        <v>0</v>
      </c>
      <c r="F25" s="35" t="n">
        <f aca="false">D25*E25</f>
        <v>0</v>
      </c>
      <c r="G25" s="36"/>
      <c r="H25" s="37" t="n">
        <v>0</v>
      </c>
      <c r="I25" s="2"/>
      <c r="J25" s="2"/>
      <c r="K25" s="2"/>
      <c r="L25" s="2"/>
      <c r="M25" s="2"/>
      <c r="N25" s="2"/>
      <c r="O25" s="2"/>
    </row>
    <row r="26" customFormat="false" ht="30" hidden="false" customHeight="true" outlineLevel="0" collapsed="false">
      <c r="A26" s="2"/>
      <c r="B26" s="47" t="s">
        <v>30</v>
      </c>
      <c r="C26" s="47"/>
      <c r="D26" s="48"/>
      <c r="E26" s="48" t="n">
        <v>0</v>
      </c>
      <c r="F26" s="48" t="n">
        <f aca="false">SUM(F11:F25)</f>
        <v>34775</v>
      </c>
      <c r="G26" s="36"/>
      <c r="H26" s="37" t="n">
        <v>0</v>
      </c>
      <c r="I26" s="2"/>
      <c r="J26" s="2"/>
      <c r="K26" s="2"/>
      <c r="L26" s="2"/>
      <c r="M26" s="2"/>
      <c r="N26" s="2"/>
      <c r="O26" s="2"/>
    </row>
    <row r="27" customFormat="false" ht="15.75" hidden="false" customHeight="true" outlineLevel="0" collapsed="false">
      <c r="A27" s="2"/>
      <c r="B27" s="2"/>
      <c r="C27" s="49"/>
      <c r="D27" s="50"/>
      <c r="E27" s="50"/>
      <c r="F27" s="50"/>
      <c r="G27" s="50"/>
      <c r="H27" s="50"/>
      <c r="I27" s="2"/>
      <c r="J27" s="2"/>
      <c r="K27" s="2"/>
      <c r="L27" s="2"/>
      <c r="M27" s="2"/>
      <c r="N27" s="2"/>
      <c r="O27" s="2"/>
    </row>
    <row r="28" customFormat="false" ht="15.75" hidden="false" customHeight="true" outlineLevel="0" collapsed="false">
      <c r="A28" s="2"/>
      <c r="B28" s="51" t="s">
        <v>31</v>
      </c>
      <c r="C28" s="51"/>
      <c r="D28" s="50"/>
      <c r="E28" s="50"/>
      <c r="F28" s="50"/>
      <c r="G28" s="50"/>
      <c r="H28" s="50"/>
      <c r="I28" s="2"/>
      <c r="J28" s="2"/>
      <c r="K28" s="2"/>
      <c r="L28" s="2"/>
      <c r="M28" s="2"/>
      <c r="N28" s="2"/>
      <c r="O28" s="2"/>
    </row>
    <row r="29" customFormat="false" ht="15.75" hidden="false" customHeight="true" outlineLevel="0" collapsed="false">
      <c r="A29" s="2"/>
      <c r="B29" s="52" t="n">
        <v>1</v>
      </c>
      <c r="C29" s="53" t="s">
        <v>32</v>
      </c>
      <c r="D29" s="34" t="n">
        <v>4</v>
      </c>
      <c r="E29" s="54" t="n">
        <v>187</v>
      </c>
      <c r="F29" s="35" t="n">
        <f aca="false">D29*E29</f>
        <v>748</v>
      </c>
      <c r="G29" s="36"/>
      <c r="H29" s="37" t="n">
        <v>0</v>
      </c>
      <c r="I29" s="2"/>
      <c r="J29" s="2"/>
      <c r="K29" s="2"/>
      <c r="L29" s="2"/>
      <c r="M29" s="2"/>
      <c r="N29" s="2"/>
      <c r="O29" s="2"/>
    </row>
    <row r="30" customFormat="false" ht="15.75" hidden="false" customHeight="true" outlineLevel="0" collapsed="false">
      <c r="A30" s="2"/>
      <c r="B30" s="55" t="n">
        <v>2</v>
      </c>
      <c r="C30" s="56" t="s">
        <v>33</v>
      </c>
      <c r="D30" s="34" t="n">
        <v>4</v>
      </c>
      <c r="E30" s="54" t="n">
        <v>93</v>
      </c>
      <c r="F30" s="35" t="n">
        <f aca="false">D30*E30</f>
        <v>372</v>
      </c>
      <c r="G30" s="36"/>
      <c r="H30" s="37" t="n">
        <v>0</v>
      </c>
      <c r="I30" s="2"/>
      <c r="J30" s="2"/>
      <c r="K30" s="2"/>
      <c r="L30" s="2"/>
      <c r="M30" s="2"/>
      <c r="N30" s="2"/>
      <c r="O30" s="2"/>
    </row>
    <row r="31" customFormat="false" ht="15.75" hidden="false" customHeight="true" outlineLevel="0" collapsed="false">
      <c r="A31" s="2"/>
      <c r="B31" s="52" t="n">
        <v>3</v>
      </c>
      <c r="C31" s="56" t="s">
        <v>34</v>
      </c>
      <c r="D31" s="34" t="n">
        <v>4</v>
      </c>
      <c r="E31" s="54" t="n">
        <v>59</v>
      </c>
      <c r="F31" s="35" t="n">
        <f aca="false">D31*E31</f>
        <v>236</v>
      </c>
      <c r="G31" s="36"/>
      <c r="H31" s="37" t="n">
        <v>0</v>
      </c>
      <c r="I31" s="2"/>
      <c r="J31" s="2"/>
      <c r="K31" s="2"/>
      <c r="L31" s="2"/>
      <c r="M31" s="2"/>
      <c r="N31" s="2"/>
      <c r="O31" s="2"/>
    </row>
    <row r="32" customFormat="false" ht="15.75" hidden="false" customHeight="true" outlineLevel="0" collapsed="false">
      <c r="A32" s="2"/>
      <c r="B32" s="55" t="n">
        <v>4</v>
      </c>
      <c r="C32" s="56" t="s">
        <v>35</v>
      </c>
      <c r="D32" s="34" t="n">
        <v>4</v>
      </c>
      <c r="E32" s="54" t="n">
        <v>5</v>
      </c>
      <c r="F32" s="35" t="n">
        <f aca="false">D32*E32</f>
        <v>20</v>
      </c>
      <c r="G32" s="36"/>
      <c r="H32" s="37" t="n">
        <v>0</v>
      </c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2"/>
      <c r="B33" s="52" t="n">
        <v>5</v>
      </c>
      <c r="C33" s="56" t="s">
        <v>36</v>
      </c>
      <c r="D33" s="34" t="n">
        <v>4</v>
      </c>
      <c r="E33" s="54" t="n">
        <v>150</v>
      </c>
      <c r="F33" s="35" t="n">
        <f aca="false">D33*E33</f>
        <v>600</v>
      </c>
      <c r="G33" s="36"/>
      <c r="H33" s="37" t="n">
        <v>0</v>
      </c>
      <c r="I33" s="2"/>
      <c r="J33" s="2"/>
      <c r="K33" s="2"/>
      <c r="L33" s="2"/>
      <c r="M33" s="2"/>
      <c r="N33" s="2"/>
      <c r="O33" s="2"/>
    </row>
    <row r="34" customFormat="false" ht="15.75" hidden="false" customHeight="true" outlineLevel="0" collapsed="false">
      <c r="A34" s="2"/>
      <c r="B34" s="55" t="n">
        <v>6</v>
      </c>
      <c r="C34" s="56" t="s">
        <v>37</v>
      </c>
      <c r="D34" s="34" t="n">
        <v>4</v>
      </c>
      <c r="E34" s="54" t="n">
        <v>0</v>
      </c>
      <c r="F34" s="35" t="n">
        <f aca="false">D34*E34</f>
        <v>0</v>
      </c>
      <c r="G34" s="36"/>
      <c r="H34" s="37" t="n">
        <v>0</v>
      </c>
      <c r="I34" s="2"/>
      <c r="J34" s="2"/>
      <c r="K34" s="2"/>
      <c r="L34" s="2"/>
      <c r="M34" s="2"/>
      <c r="N34" s="2"/>
      <c r="O34" s="2"/>
    </row>
    <row r="35" customFormat="false" ht="15.75" hidden="false" customHeight="true" outlineLevel="0" collapsed="false">
      <c r="A35" s="2"/>
      <c r="B35" s="52" t="n">
        <v>7</v>
      </c>
      <c r="C35" s="56" t="s">
        <v>38</v>
      </c>
      <c r="D35" s="34" t="n">
        <v>4</v>
      </c>
      <c r="E35" s="54" t="n">
        <v>15</v>
      </c>
      <c r="F35" s="35" t="n">
        <f aca="false">D35*E35</f>
        <v>60</v>
      </c>
      <c r="G35" s="36"/>
      <c r="H35" s="37" t="n">
        <v>0</v>
      </c>
      <c r="I35" s="2"/>
      <c r="J35" s="2"/>
      <c r="K35" s="2"/>
      <c r="L35" s="2"/>
      <c r="M35" s="2"/>
      <c r="N35" s="2"/>
      <c r="O35" s="2"/>
    </row>
    <row r="36" customFormat="false" ht="15.75" hidden="false" customHeight="true" outlineLevel="0" collapsed="false">
      <c r="A36" s="2"/>
      <c r="B36" s="55" t="n">
        <v>8</v>
      </c>
      <c r="C36" s="56" t="s">
        <v>39</v>
      </c>
      <c r="D36" s="34" t="n">
        <v>4</v>
      </c>
      <c r="E36" s="54" t="n">
        <v>12</v>
      </c>
      <c r="F36" s="35" t="n">
        <f aca="false">D36*E36</f>
        <v>48</v>
      </c>
      <c r="G36" s="36"/>
      <c r="H36" s="37" t="n">
        <v>0</v>
      </c>
      <c r="I36" s="2"/>
      <c r="J36" s="2"/>
      <c r="K36" s="2"/>
      <c r="L36" s="2"/>
      <c r="M36" s="2"/>
      <c r="N36" s="2"/>
      <c r="O36" s="2"/>
    </row>
    <row r="37" customFormat="false" ht="15.75" hidden="false" customHeight="true" outlineLevel="0" collapsed="false">
      <c r="A37" s="2"/>
      <c r="B37" s="52" t="n">
        <v>9</v>
      </c>
      <c r="C37" s="56" t="s">
        <v>40</v>
      </c>
      <c r="D37" s="34" t="n">
        <v>4</v>
      </c>
      <c r="E37" s="54" t="n">
        <v>10</v>
      </c>
      <c r="F37" s="35" t="n">
        <f aca="false">D37*E37</f>
        <v>40</v>
      </c>
      <c r="G37" s="36"/>
      <c r="H37" s="37" t="n">
        <v>0</v>
      </c>
      <c r="I37" s="2"/>
      <c r="J37" s="2"/>
      <c r="K37" s="2"/>
      <c r="L37" s="2"/>
      <c r="M37" s="2"/>
      <c r="N37" s="2"/>
      <c r="O37" s="2"/>
    </row>
    <row r="38" customFormat="false" ht="15.75" hidden="false" customHeight="true" outlineLevel="0" collapsed="false">
      <c r="A38" s="2"/>
      <c r="B38" s="55" t="n">
        <v>10</v>
      </c>
      <c r="C38" s="56" t="s">
        <v>41</v>
      </c>
      <c r="D38" s="34" t="n">
        <v>4</v>
      </c>
      <c r="E38" s="54" t="n">
        <v>0</v>
      </c>
      <c r="F38" s="35" t="n">
        <f aca="false">D38*E38</f>
        <v>0</v>
      </c>
      <c r="G38" s="36"/>
      <c r="H38" s="37" t="n">
        <v>0</v>
      </c>
      <c r="I38" s="2"/>
      <c r="J38" s="2"/>
      <c r="K38" s="2"/>
      <c r="L38" s="2"/>
      <c r="M38" s="2"/>
      <c r="N38" s="2"/>
      <c r="O38" s="2"/>
    </row>
    <row r="39" customFormat="false" ht="15.75" hidden="false" customHeight="true" outlineLevel="0" collapsed="false">
      <c r="A39" s="2"/>
      <c r="B39" s="52" t="n">
        <v>11</v>
      </c>
      <c r="C39" s="56" t="s">
        <v>42</v>
      </c>
      <c r="D39" s="34" t="n">
        <v>4</v>
      </c>
      <c r="E39" s="54" t="n">
        <v>0</v>
      </c>
      <c r="F39" s="35" t="n">
        <f aca="false">D39*E39</f>
        <v>0</v>
      </c>
      <c r="G39" s="36"/>
      <c r="H39" s="37" t="n">
        <v>0</v>
      </c>
      <c r="I39" s="2"/>
      <c r="J39" s="2"/>
      <c r="K39" s="2"/>
      <c r="L39" s="2"/>
      <c r="M39" s="2"/>
      <c r="N39" s="2"/>
      <c r="O39" s="2"/>
    </row>
    <row r="40" customFormat="false" ht="15.75" hidden="false" customHeight="true" outlineLevel="0" collapsed="false">
      <c r="A40" s="2"/>
      <c r="B40" s="55" t="n">
        <v>12</v>
      </c>
      <c r="C40" s="57" t="s">
        <v>43</v>
      </c>
      <c r="D40" s="34" t="n">
        <v>4</v>
      </c>
      <c r="E40" s="54" t="n">
        <v>0</v>
      </c>
      <c r="F40" s="35" t="n">
        <f aca="false">D40*E40</f>
        <v>0</v>
      </c>
      <c r="G40" s="36"/>
      <c r="H40" s="37" t="n">
        <v>0</v>
      </c>
      <c r="I40" s="2"/>
      <c r="J40" s="2"/>
      <c r="K40" s="2"/>
      <c r="L40" s="2"/>
      <c r="M40" s="2"/>
      <c r="N40" s="2"/>
      <c r="O40" s="2"/>
    </row>
    <row r="41" customFormat="false" ht="15.75" hidden="false" customHeight="true" outlineLevel="0" collapsed="false">
      <c r="A41" s="2"/>
      <c r="B41" s="52" t="n">
        <v>13</v>
      </c>
      <c r="C41" s="56" t="s">
        <v>44</v>
      </c>
      <c r="D41" s="34" t="n">
        <v>4</v>
      </c>
      <c r="E41" s="54" t="n">
        <v>10</v>
      </c>
      <c r="F41" s="35" t="n">
        <f aca="false">D41*E41</f>
        <v>40</v>
      </c>
      <c r="G41" s="36"/>
      <c r="H41" s="37" t="n">
        <v>0</v>
      </c>
      <c r="I41" s="2"/>
      <c r="J41" s="2"/>
      <c r="K41" s="2"/>
      <c r="L41" s="2"/>
      <c r="M41" s="2"/>
      <c r="N41" s="2"/>
      <c r="O41" s="2"/>
    </row>
    <row r="42" customFormat="false" ht="15.75" hidden="false" customHeight="true" outlineLevel="0" collapsed="false">
      <c r="A42" s="2"/>
      <c r="B42" s="55" t="n">
        <v>14</v>
      </c>
      <c r="C42" s="56" t="s">
        <v>45</v>
      </c>
      <c r="D42" s="34" t="n">
        <v>4</v>
      </c>
      <c r="E42" s="54" t="n">
        <v>12</v>
      </c>
      <c r="F42" s="35" t="n">
        <f aca="false">D42*E42</f>
        <v>48</v>
      </c>
      <c r="G42" s="36"/>
      <c r="H42" s="37" t="n">
        <v>0</v>
      </c>
      <c r="I42" s="2"/>
      <c r="J42" s="2"/>
      <c r="K42" s="2"/>
      <c r="L42" s="2"/>
      <c r="M42" s="2"/>
      <c r="N42" s="2"/>
      <c r="O42" s="2"/>
    </row>
    <row r="43" customFormat="false" ht="15.75" hidden="false" customHeight="true" outlineLevel="0" collapsed="false">
      <c r="A43" s="2"/>
      <c r="B43" s="52" t="n">
        <v>15</v>
      </c>
      <c r="C43" s="56" t="s">
        <v>46</v>
      </c>
      <c r="D43" s="34" t="n">
        <v>4</v>
      </c>
      <c r="E43" s="54" t="n">
        <v>0</v>
      </c>
      <c r="F43" s="35" t="n">
        <f aca="false">D43*E43</f>
        <v>0</v>
      </c>
      <c r="G43" s="36"/>
      <c r="H43" s="37" t="n">
        <v>0</v>
      </c>
      <c r="I43" s="2"/>
      <c r="J43" s="2"/>
      <c r="K43" s="2"/>
      <c r="L43" s="2"/>
      <c r="M43" s="2"/>
      <c r="N43" s="2"/>
      <c r="O43" s="2"/>
    </row>
    <row r="44" customFormat="false" ht="15.75" hidden="false" customHeight="true" outlineLevel="0" collapsed="false">
      <c r="A44" s="2"/>
      <c r="B44" s="55" t="n">
        <v>16</v>
      </c>
      <c r="C44" s="56" t="s">
        <v>47</v>
      </c>
      <c r="D44" s="34" t="n">
        <v>4</v>
      </c>
      <c r="E44" s="54" t="n">
        <v>2</v>
      </c>
      <c r="F44" s="35" t="n">
        <f aca="false">D44*E44</f>
        <v>8</v>
      </c>
      <c r="G44" s="36"/>
      <c r="H44" s="37" t="n">
        <v>0</v>
      </c>
      <c r="I44" s="2"/>
      <c r="J44" s="2"/>
      <c r="K44" s="2"/>
      <c r="L44" s="2"/>
      <c r="M44" s="2"/>
      <c r="N44" s="2"/>
      <c r="O44" s="2"/>
    </row>
    <row r="45" customFormat="false" ht="15.75" hidden="false" customHeight="true" outlineLevel="0" collapsed="false">
      <c r="A45" s="2"/>
      <c r="B45" s="52" t="n">
        <v>17</v>
      </c>
      <c r="C45" s="56" t="s">
        <v>48</v>
      </c>
      <c r="D45" s="34" t="n">
        <v>4</v>
      </c>
      <c r="E45" s="54" t="n">
        <v>0</v>
      </c>
      <c r="F45" s="35" t="n">
        <f aca="false">D45*E45</f>
        <v>0</v>
      </c>
      <c r="G45" s="36"/>
      <c r="H45" s="37" t="n">
        <v>0</v>
      </c>
      <c r="I45" s="2"/>
      <c r="J45" s="2"/>
      <c r="K45" s="2"/>
      <c r="L45" s="2"/>
      <c r="M45" s="2"/>
      <c r="N45" s="2"/>
      <c r="O45" s="2"/>
    </row>
    <row r="46" customFormat="false" ht="15.75" hidden="false" customHeight="true" outlineLevel="0" collapsed="false">
      <c r="A46" s="2"/>
      <c r="B46" s="55" t="n">
        <v>18</v>
      </c>
      <c r="C46" s="58" t="s">
        <v>49</v>
      </c>
      <c r="D46" s="34" t="n">
        <v>4</v>
      </c>
      <c r="E46" s="54" t="n">
        <v>0</v>
      </c>
      <c r="F46" s="35" t="n">
        <f aca="false">D46*E46</f>
        <v>0</v>
      </c>
      <c r="G46" s="36"/>
      <c r="H46" s="37" t="n">
        <v>0</v>
      </c>
      <c r="I46" s="2"/>
      <c r="J46" s="2"/>
      <c r="K46" s="2"/>
      <c r="L46" s="2"/>
      <c r="M46" s="2"/>
      <c r="N46" s="2"/>
      <c r="O46" s="2"/>
    </row>
    <row r="47" customFormat="false" ht="15.75" hidden="false" customHeight="true" outlineLevel="0" collapsed="false">
      <c r="A47" s="2"/>
      <c r="B47" s="52" t="n">
        <v>19</v>
      </c>
      <c r="C47" s="58" t="s">
        <v>50</v>
      </c>
      <c r="D47" s="34" t="n">
        <v>4</v>
      </c>
      <c r="E47" s="54" t="n">
        <v>10</v>
      </c>
      <c r="F47" s="35" t="n">
        <f aca="false">D47*E47</f>
        <v>40</v>
      </c>
      <c r="G47" s="36"/>
      <c r="H47" s="37" t="n">
        <v>0</v>
      </c>
      <c r="I47" s="2"/>
      <c r="J47" s="2"/>
      <c r="K47" s="2"/>
      <c r="L47" s="2"/>
      <c r="M47" s="2"/>
      <c r="N47" s="2"/>
      <c r="O47" s="2"/>
    </row>
    <row r="48" customFormat="false" ht="15.75" hidden="false" customHeight="true" outlineLevel="0" collapsed="false">
      <c r="A48" s="2"/>
      <c r="B48" s="55" t="n">
        <v>20</v>
      </c>
      <c r="C48" s="58" t="s">
        <v>51</v>
      </c>
      <c r="D48" s="34" t="n">
        <v>4</v>
      </c>
      <c r="E48" s="54" t="n">
        <v>6</v>
      </c>
      <c r="F48" s="35" t="n">
        <f aca="false">D48*E48</f>
        <v>24</v>
      </c>
      <c r="G48" s="36"/>
      <c r="H48" s="37" t="n">
        <v>0</v>
      </c>
      <c r="I48" s="2"/>
      <c r="J48" s="2"/>
      <c r="K48" s="2"/>
      <c r="L48" s="2"/>
      <c r="M48" s="2"/>
      <c r="N48" s="2"/>
      <c r="O48" s="2"/>
    </row>
    <row r="49" customFormat="false" ht="15.75" hidden="false" customHeight="true" outlineLevel="0" collapsed="false">
      <c r="A49" s="2"/>
      <c r="B49" s="52" t="n">
        <v>21</v>
      </c>
      <c r="C49" s="58" t="s">
        <v>52</v>
      </c>
      <c r="D49" s="34" t="n">
        <v>4</v>
      </c>
      <c r="E49" s="54" t="n">
        <v>0</v>
      </c>
      <c r="F49" s="35" t="n">
        <f aca="false">D49*E49</f>
        <v>0</v>
      </c>
      <c r="G49" s="36"/>
      <c r="H49" s="37" t="n">
        <v>0</v>
      </c>
      <c r="I49" s="2"/>
      <c r="J49" s="2"/>
      <c r="K49" s="2"/>
      <c r="L49" s="2"/>
      <c r="M49" s="2"/>
      <c r="N49" s="2"/>
      <c r="O49" s="2"/>
    </row>
    <row r="50" customFormat="false" ht="15.75" hidden="false" customHeight="true" outlineLevel="0" collapsed="false">
      <c r="A50" s="2"/>
      <c r="B50" s="55" t="n">
        <v>22</v>
      </c>
      <c r="C50" s="58" t="s">
        <v>53</v>
      </c>
      <c r="D50" s="34" t="n">
        <v>4</v>
      </c>
      <c r="E50" s="54" t="n">
        <v>10</v>
      </c>
      <c r="F50" s="35" t="n">
        <f aca="false">D50*E50</f>
        <v>40</v>
      </c>
      <c r="G50" s="36"/>
      <c r="H50" s="37" t="n">
        <v>0</v>
      </c>
      <c r="I50" s="2"/>
      <c r="J50" s="2"/>
      <c r="K50" s="2"/>
      <c r="L50" s="2"/>
      <c r="M50" s="2"/>
      <c r="N50" s="2"/>
      <c r="O50" s="2"/>
    </row>
    <row r="51" customFormat="false" ht="15.75" hidden="false" customHeight="true" outlineLevel="0" collapsed="false">
      <c r="A51" s="2"/>
      <c r="B51" s="52" t="n">
        <v>23</v>
      </c>
      <c r="C51" s="58" t="s">
        <v>54</v>
      </c>
      <c r="D51" s="34" t="n">
        <v>4</v>
      </c>
      <c r="E51" s="54" t="n">
        <v>14</v>
      </c>
      <c r="F51" s="35" t="n">
        <f aca="false">D51*E51</f>
        <v>56</v>
      </c>
      <c r="G51" s="36"/>
      <c r="H51" s="37" t="n">
        <v>0</v>
      </c>
      <c r="I51" s="2"/>
      <c r="J51" s="2"/>
      <c r="K51" s="2"/>
      <c r="L51" s="2"/>
      <c r="M51" s="2"/>
      <c r="N51" s="2"/>
      <c r="O51" s="2"/>
    </row>
    <row r="52" customFormat="false" ht="15.75" hidden="false" customHeight="true" outlineLevel="0" collapsed="false">
      <c r="A52" s="2"/>
      <c r="B52" s="55" t="n">
        <v>24</v>
      </c>
      <c r="C52" s="56" t="s">
        <v>55</v>
      </c>
      <c r="D52" s="34" t="n">
        <v>4</v>
      </c>
      <c r="E52" s="54" t="n">
        <v>11</v>
      </c>
      <c r="F52" s="35" t="n">
        <f aca="false">D52*E52</f>
        <v>44</v>
      </c>
      <c r="G52" s="36"/>
      <c r="H52" s="37" t="n">
        <v>0</v>
      </c>
      <c r="I52" s="2"/>
      <c r="J52" s="2"/>
      <c r="K52" s="2"/>
      <c r="L52" s="2"/>
      <c r="M52" s="2"/>
      <c r="N52" s="2"/>
      <c r="O52" s="2"/>
    </row>
    <row r="53" customFormat="false" ht="15.75" hidden="false" customHeight="true" outlineLevel="0" collapsed="false">
      <c r="A53" s="2"/>
      <c r="B53" s="59" t="n">
        <v>25</v>
      </c>
      <c r="C53" s="60" t="s">
        <v>56</v>
      </c>
      <c r="D53" s="34" t="n">
        <v>4</v>
      </c>
      <c r="E53" s="54" t="n">
        <v>1</v>
      </c>
      <c r="F53" s="35" t="n">
        <f aca="false">D53*E53</f>
        <v>4</v>
      </c>
      <c r="G53" s="36"/>
      <c r="H53" s="37" t="n">
        <v>0</v>
      </c>
      <c r="I53" s="2"/>
      <c r="J53" s="2"/>
      <c r="K53" s="2"/>
      <c r="L53" s="2"/>
      <c r="M53" s="2"/>
      <c r="N53" s="2"/>
      <c r="O53" s="2"/>
    </row>
    <row r="54" customFormat="false" ht="30" hidden="false" customHeight="true" outlineLevel="0" collapsed="false">
      <c r="A54" s="2"/>
      <c r="B54" s="47" t="s">
        <v>57</v>
      </c>
      <c r="C54" s="47"/>
      <c r="D54" s="48"/>
      <c r="E54" s="48" t="n">
        <v>0</v>
      </c>
      <c r="F54" s="48" t="n">
        <f aca="false">SUM(F27:F53)</f>
        <v>2428</v>
      </c>
      <c r="G54" s="36"/>
      <c r="H54" s="37" t="n">
        <v>0</v>
      </c>
      <c r="I54" s="61"/>
      <c r="J54" s="61"/>
      <c r="K54" s="61"/>
      <c r="L54" s="61"/>
      <c r="M54" s="61"/>
      <c r="N54" s="61"/>
      <c r="O54" s="61"/>
    </row>
    <row r="55" customFormat="false" ht="15.75" hidden="false" customHeight="true" outlineLevel="0" collapsed="false">
      <c r="A55" s="2"/>
      <c r="B55" s="2"/>
      <c r="C55" s="49"/>
      <c r="D55" s="50"/>
      <c r="E55" s="50"/>
      <c r="F55" s="50"/>
      <c r="G55" s="50"/>
      <c r="H55" s="50"/>
      <c r="I55" s="2"/>
      <c r="J55" s="2"/>
      <c r="K55" s="2"/>
      <c r="L55" s="2"/>
      <c r="M55" s="2"/>
      <c r="N55" s="2"/>
      <c r="O55" s="2"/>
    </row>
    <row r="56" customFormat="false" ht="15.75" hidden="false" customHeight="true" outlineLevel="0" collapsed="false">
      <c r="A56" s="2"/>
      <c r="B56" s="51" t="s">
        <v>58</v>
      </c>
      <c r="C56" s="51"/>
      <c r="D56" s="50"/>
      <c r="E56" s="50"/>
      <c r="F56" s="50"/>
      <c r="G56" s="50"/>
      <c r="H56" s="50"/>
      <c r="I56" s="2"/>
      <c r="J56" s="2"/>
      <c r="K56" s="2"/>
      <c r="L56" s="2"/>
      <c r="M56" s="2"/>
      <c r="N56" s="2"/>
      <c r="O56" s="2"/>
    </row>
    <row r="57" customFormat="false" ht="15.75" hidden="false" customHeight="true" outlineLevel="0" collapsed="false">
      <c r="A57" s="2"/>
      <c r="B57" s="62" t="n">
        <v>1</v>
      </c>
      <c r="C57" s="63" t="s">
        <v>59</v>
      </c>
      <c r="D57" s="64" t="n">
        <v>20</v>
      </c>
      <c r="E57" s="54" t="n">
        <v>0</v>
      </c>
      <c r="F57" s="35" t="n">
        <f aca="false">D57*E57</f>
        <v>0</v>
      </c>
      <c r="G57" s="36"/>
      <c r="H57" s="37" t="n">
        <v>0</v>
      </c>
      <c r="I57" s="2"/>
      <c r="J57" s="2"/>
      <c r="K57" s="2"/>
      <c r="L57" s="2"/>
      <c r="M57" s="2"/>
      <c r="N57" s="2"/>
      <c r="O57" s="2"/>
    </row>
    <row r="58" customFormat="false" ht="15.75" hidden="false" customHeight="true" outlineLevel="0" collapsed="false">
      <c r="A58" s="2"/>
      <c r="B58" s="65" t="n">
        <v>2</v>
      </c>
      <c r="C58" s="66" t="s">
        <v>60</v>
      </c>
      <c r="D58" s="64" t="n">
        <v>20</v>
      </c>
      <c r="E58" s="54" t="n">
        <v>111</v>
      </c>
      <c r="F58" s="35" t="n">
        <f aca="false">D58*E58</f>
        <v>2220</v>
      </c>
      <c r="G58" s="36"/>
      <c r="H58" s="37" t="n">
        <v>0</v>
      </c>
      <c r="I58" s="2"/>
      <c r="J58" s="2"/>
      <c r="K58" s="2"/>
      <c r="L58" s="2"/>
      <c r="M58" s="2"/>
      <c r="N58" s="2"/>
      <c r="O58" s="2"/>
    </row>
    <row r="59" customFormat="false" ht="15.75" hidden="false" customHeight="true" outlineLevel="0" collapsed="false">
      <c r="A59" s="2"/>
      <c r="B59" s="67" t="n">
        <v>3</v>
      </c>
      <c r="C59" s="68" t="s">
        <v>61</v>
      </c>
      <c r="D59" s="64" t="n">
        <v>20</v>
      </c>
      <c r="E59" s="54" t="n">
        <v>126</v>
      </c>
      <c r="F59" s="35" t="n">
        <f aca="false">D59*E59</f>
        <v>2520</v>
      </c>
      <c r="G59" s="36"/>
      <c r="H59" s="37" t="n">
        <v>0</v>
      </c>
      <c r="I59" s="2"/>
      <c r="J59" s="2"/>
      <c r="K59" s="2"/>
      <c r="L59" s="2"/>
      <c r="M59" s="2"/>
      <c r="N59" s="2"/>
      <c r="O59" s="2"/>
    </row>
    <row r="60" customFormat="false" ht="15.75" hidden="false" customHeight="true" outlineLevel="0" collapsed="false">
      <c r="A60" s="2"/>
      <c r="B60" s="69" t="n">
        <v>4</v>
      </c>
      <c r="C60" s="70" t="s">
        <v>62</v>
      </c>
      <c r="D60" s="64" t="n">
        <v>20</v>
      </c>
      <c r="E60" s="54" t="n">
        <v>22</v>
      </c>
      <c r="F60" s="35" t="n">
        <f aca="false">D60*E60</f>
        <v>440</v>
      </c>
      <c r="G60" s="36"/>
      <c r="H60" s="37" t="n">
        <v>0</v>
      </c>
      <c r="I60" s="2"/>
      <c r="J60" s="2"/>
      <c r="K60" s="2"/>
      <c r="L60" s="2"/>
      <c r="M60" s="2"/>
      <c r="N60" s="2"/>
      <c r="O60" s="2"/>
    </row>
    <row r="61" customFormat="false" ht="15.75" hidden="false" customHeight="true" outlineLevel="0" collapsed="false">
      <c r="A61" s="2"/>
      <c r="B61" s="71" t="n">
        <v>5</v>
      </c>
      <c r="C61" s="72" t="s">
        <v>63</v>
      </c>
      <c r="D61" s="64" t="n">
        <v>20</v>
      </c>
      <c r="E61" s="54" t="n">
        <v>0</v>
      </c>
      <c r="F61" s="35" t="n">
        <f aca="false">D61*E61</f>
        <v>0</v>
      </c>
      <c r="G61" s="36"/>
      <c r="H61" s="37" t="n">
        <v>0</v>
      </c>
      <c r="I61" s="2"/>
      <c r="J61" s="2"/>
      <c r="K61" s="2"/>
      <c r="L61" s="2"/>
      <c r="M61" s="2"/>
      <c r="N61" s="2"/>
      <c r="O61" s="2"/>
    </row>
    <row r="62" customFormat="false" ht="15.75" hidden="false" customHeight="true" outlineLevel="0" collapsed="false">
      <c r="A62" s="2"/>
      <c r="B62" s="73" t="n">
        <v>6</v>
      </c>
      <c r="C62" s="74" t="s">
        <v>64</v>
      </c>
      <c r="D62" s="64" t="n">
        <v>20</v>
      </c>
      <c r="E62" s="54" t="n">
        <v>71</v>
      </c>
      <c r="F62" s="35" t="n">
        <f aca="false">D62*E62</f>
        <v>1420</v>
      </c>
      <c r="G62" s="36"/>
      <c r="H62" s="37" t="n">
        <v>0</v>
      </c>
      <c r="I62" s="2"/>
      <c r="J62" s="2"/>
      <c r="K62" s="2"/>
      <c r="L62" s="2"/>
      <c r="M62" s="2"/>
      <c r="N62" s="2"/>
      <c r="O62" s="2"/>
    </row>
    <row r="63" customFormat="false" ht="15.75" hidden="false" customHeight="true" outlineLevel="0" collapsed="false">
      <c r="A63" s="2"/>
      <c r="B63" s="75" t="n">
        <v>7</v>
      </c>
      <c r="C63" s="76" t="s">
        <v>65</v>
      </c>
      <c r="D63" s="64" t="n">
        <v>20</v>
      </c>
      <c r="E63" s="54" t="n">
        <v>75</v>
      </c>
      <c r="F63" s="35" t="n">
        <f aca="false">D63*E63</f>
        <v>1500</v>
      </c>
      <c r="G63" s="36"/>
      <c r="H63" s="37" t="n">
        <v>0</v>
      </c>
      <c r="I63" s="2"/>
      <c r="J63" s="2"/>
      <c r="K63" s="2"/>
      <c r="L63" s="2"/>
      <c r="M63" s="2"/>
      <c r="N63" s="2"/>
      <c r="O63" s="2"/>
    </row>
    <row r="64" customFormat="false" ht="15.75" hidden="false" customHeight="true" outlineLevel="0" collapsed="false">
      <c r="A64" s="2"/>
      <c r="B64" s="77" t="n">
        <v>8</v>
      </c>
      <c r="C64" s="78" t="s">
        <v>66</v>
      </c>
      <c r="D64" s="64" t="n">
        <v>20</v>
      </c>
      <c r="E64" s="54" t="n">
        <v>49</v>
      </c>
      <c r="F64" s="35" t="n">
        <f aca="false">D64*E64</f>
        <v>980</v>
      </c>
      <c r="G64" s="36"/>
      <c r="H64" s="37" t="n">
        <v>0</v>
      </c>
      <c r="I64" s="2"/>
      <c r="J64" s="2"/>
      <c r="K64" s="2"/>
      <c r="L64" s="2"/>
      <c r="M64" s="2"/>
      <c r="N64" s="2"/>
      <c r="O64" s="2"/>
    </row>
    <row r="65" customFormat="false" ht="15.75" hidden="false" customHeight="true" outlineLevel="0" collapsed="false">
      <c r="A65" s="2"/>
      <c r="B65" s="79" t="n">
        <v>9</v>
      </c>
      <c r="C65" s="80" t="s">
        <v>67</v>
      </c>
      <c r="D65" s="81" t="n">
        <v>20</v>
      </c>
      <c r="E65" s="54" t="n">
        <v>2</v>
      </c>
      <c r="F65" s="35" t="n">
        <f aca="false">D65*E65</f>
        <v>40</v>
      </c>
      <c r="G65" s="36"/>
      <c r="H65" s="37" t="n">
        <v>0</v>
      </c>
      <c r="I65" s="2"/>
      <c r="J65" s="2"/>
      <c r="K65" s="2"/>
      <c r="L65" s="2"/>
      <c r="M65" s="2"/>
      <c r="N65" s="2"/>
      <c r="O65" s="2"/>
    </row>
    <row r="66" customFormat="false" ht="30" hidden="false" customHeight="true" outlineLevel="0" collapsed="false">
      <c r="A66" s="2"/>
      <c r="B66" s="47" t="s">
        <v>68</v>
      </c>
      <c r="C66" s="47"/>
      <c r="D66" s="82"/>
      <c r="E66" s="83" t="n">
        <v>0</v>
      </c>
      <c r="F66" s="48" t="n">
        <f aca="false">SUM(F55:F65)</f>
        <v>9120</v>
      </c>
      <c r="G66" s="36"/>
      <c r="H66" s="37" t="n">
        <v>0</v>
      </c>
      <c r="I66" s="2"/>
      <c r="J66" s="2"/>
      <c r="K66" s="2"/>
      <c r="L66" s="2"/>
      <c r="M66" s="2"/>
      <c r="N66" s="2"/>
      <c r="O66" s="2"/>
    </row>
    <row r="67" customFormat="false" ht="15.75" hidden="false" customHeight="true" outlineLevel="0" collapsed="false">
      <c r="A67" s="2"/>
      <c r="B67" s="84"/>
      <c r="C67" s="85"/>
      <c r="D67" s="50"/>
      <c r="E67" s="50"/>
      <c r="F67" s="50"/>
      <c r="G67" s="50"/>
      <c r="H67" s="50"/>
      <c r="I67" s="2"/>
      <c r="J67" s="2"/>
      <c r="K67" s="2"/>
      <c r="L67" s="2"/>
      <c r="M67" s="2"/>
      <c r="N67" s="2"/>
      <c r="O67" s="2"/>
    </row>
    <row r="68" customFormat="false" ht="15.75" hidden="false" customHeight="true" outlineLevel="0" collapsed="false">
      <c r="A68" s="2"/>
      <c r="B68" s="86" t="s">
        <v>69</v>
      </c>
      <c r="C68" s="86"/>
      <c r="D68" s="50"/>
      <c r="E68" s="50"/>
      <c r="F68" s="50"/>
      <c r="G68" s="50"/>
      <c r="H68" s="50"/>
      <c r="I68" s="2"/>
      <c r="J68" s="2"/>
      <c r="K68" s="2"/>
      <c r="L68" s="2"/>
      <c r="M68" s="2"/>
      <c r="N68" s="2"/>
      <c r="O68" s="2"/>
    </row>
    <row r="69" customFormat="false" ht="15.75" hidden="false" customHeight="true" outlineLevel="0" collapsed="false">
      <c r="A69" s="2"/>
      <c r="B69" s="87" t="n">
        <v>1</v>
      </c>
      <c r="C69" s="53" t="s">
        <v>70</v>
      </c>
      <c r="D69" s="64" t="n">
        <v>540</v>
      </c>
      <c r="E69" s="54" t="n">
        <v>1</v>
      </c>
      <c r="F69" s="35" t="n">
        <f aca="false">D69*E69</f>
        <v>540</v>
      </c>
      <c r="G69" s="36"/>
      <c r="H69" s="37" t="n">
        <v>0</v>
      </c>
      <c r="I69" s="2"/>
      <c r="J69" s="2"/>
      <c r="K69" s="2"/>
      <c r="L69" s="2"/>
      <c r="M69" s="2"/>
      <c r="N69" s="2"/>
      <c r="O69" s="2"/>
    </row>
    <row r="70" customFormat="false" ht="15.75" hidden="false" customHeight="true" outlineLevel="0" collapsed="false">
      <c r="A70" s="2"/>
      <c r="B70" s="88" t="n">
        <v>2</v>
      </c>
      <c r="C70" s="56" t="s">
        <v>71</v>
      </c>
      <c r="D70" s="64" t="n">
        <v>540</v>
      </c>
      <c r="E70" s="54" t="n">
        <v>0</v>
      </c>
      <c r="F70" s="35" t="n">
        <f aca="false">D70*E70</f>
        <v>0</v>
      </c>
      <c r="G70" s="36"/>
      <c r="H70" s="37" t="n">
        <v>0</v>
      </c>
      <c r="I70" s="2"/>
      <c r="J70" s="2"/>
      <c r="K70" s="2"/>
      <c r="L70" s="2"/>
      <c r="M70" s="2"/>
      <c r="N70" s="2"/>
      <c r="O70" s="2"/>
    </row>
    <row r="71" customFormat="false" ht="15.75" hidden="false" customHeight="true" outlineLevel="0" collapsed="false">
      <c r="A71" s="2"/>
      <c r="B71" s="88" t="n">
        <v>3</v>
      </c>
      <c r="C71" s="56" t="s">
        <v>72</v>
      </c>
      <c r="D71" s="64" t="n">
        <v>1225</v>
      </c>
      <c r="E71" s="54" t="n">
        <v>0</v>
      </c>
      <c r="F71" s="35" t="n">
        <f aca="false">D71*E71</f>
        <v>0</v>
      </c>
      <c r="G71" s="36"/>
      <c r="H71" s="37" t="n">
        <v>0</v>
      </c>
      <c r="I71" s="2"/>
      <c r="J71" s="2"/>
      <c r="K71" s="2"/>
      <c r="L71" s="2"/>
      <c r="M71" s="2"/>
      <c r="N71" s="2"/>
      <c r="O71" s="2"/>
    </row>
    <row r="72" customFormat="false" ht="15.75" hidden="false" customHeight="true" outlineLevel="0" collapsed="false">
      <c r="A72" s="2"/>
      <c r="B72" s="89" t="n">
        <v>4</v>
      </c>
      <c r="C72" s="90" t="s">
        <v>73</v>
      </c>
      <c r="D72" s="64" t="n">
        <v>500</v>
      </c>
      <c r="E72" s="54" t="n">
        <v>0</v>
      </c>
      <c r="F72" s="35" t="n">
        <f aca="false">D72*E72</f>
        <v>0</v>
      </c>
      <c r="G72" s="36"/>
      <c r="H72" s="37" t="n">
        <v>0</v>
      </c>
      <c r="I72" s="2"/>
      <c r="J72" s="2"/>
      <c r="K72" s="2"/>
      <c r="L72" s="2"/>
      <c r="M72" s="2"/>
      <c r="N72" s="2"/>
      <c r="O72" s="2"/>
    </row>
    <row r="73" customFormat="false" ht="15.75" hidden="false" customHeight="true" outlineLevel="0" collapsed="false">
      <c r="A73" s="2"/>
      <c r="B73" s="89" t="n">
        <v>5</v>
      </c>
      <c r="C73" s="90" t="s">
        <v>74</v>
      </c>
      <c r="D73" s="64" t="n">
        <v>520</v>
      </c>
      <c r="E73" s="54" t="n">
        <v>0</v>
      </c>
      <c r="F73" s="35" t="n">
        <f aca="false">D73*E73</f>
        <v>0</v>
      </c>
      <c r="G73" s="36"/>
      <c r="H73" s="37" t="n">
        <v>0</v>
      </c>
      <c r="I73" s="2"/>
      <c r="J73" s="2"/>
      <c r="K73" s="2"/>
      <c r="L73" s="2"/>
      <c r="M73" s="2"/>
      <c r="N73" s="2"/>
      <c r="O73" s="2"/>
    </row>
    <row r="74" customFormat="false" ht="15.75" hidden="false" customHeight="true" outlineLevel="0" collapsed="false">
      <c r="A74" s="2"/>
      <c r="B74" s="89" t="n">
        <v>6</v>
      </c>
      <c r="C74" s="90" t="s">
        <v>75</v>
      </c>
      <c r="D74" s="64" t="n">
        <v>1160</v>
      </c>
      <c r="E74" s="54" t="n">
        <v>0</v>
      </c>
      <c r="F74" s="35" t="n">
        <f aca="false">D74*E74</f>
        <v>0</v>
      </c>
      <c r="G74" s="36"/>
      <c r="H74" s="37" t="n">
        <v>0</v>
      </c>
      <c r="I74" s="2"/>
      <c r="J74" s="2"/>
      <c r="K74" s="2"/>
      <c r="L74" s="2"/>
      <c r="M74" s="2"/>
      <c r="N74" s="2"/>
      <c r="O74" s="2"/>
    </row>
    <row r="75" customFormat="false" ht="15.75" hidden="false" customHeight="true" outlineLevel="0" collapsed="false">
      <c r="A75" s="2"/>
      <c r="B75" s="91" t="n">
        <v>7</v>
      </c>
      <c r="C75" s="92" t="s">
        <v>76</v>
      </c>
      <c r="D75" s="64" t="n">
        <v>425</v>
      </c>
      <c r="E75" s="54" t="n">
        <v>0</v>
      </c>
      <c r="F75" s="35" t="n">
        <f aca="false">D75*E75</f>
        <v>0</v>
      </c>
      <c r="G75" s="36"/>
      <c r="H75" s="37" t="n">
        <v>0</v>
      </c>
      <c r="I75" s="2"/>
      <c r="J75" s="2"/>
      <c r="K75" s="2"/>
      <c r="L75" s="2"/>
      <c r="M75" s="2"/>
      <c r="N75" s="2"/>
      <c r="O75" s="2"/>
    </row>
    <row r="76" customFormat="false" ht="15.75" hidden="false" customHeight="true" outlineLevel="0" collapsed="false">
      <c r="A76" s="2"/>
      <c r="B76" s="91" t="n">
        <v>8</v>
      </c>
      <c r="C76" s="92" t="s">
        <v>77</v>
      </c>
      <c r="D76" s="64" t="n">
        <v>440</v>
      </c>
      <c r="E76" s="54" t="n">
        <v>0</v>
      </c>
      <c r="F76" s="35" t="n">
        <f aca="false">D76*E76</f>
        <v>0</v>
      </c>
      <c r="G76" s="36"/>
      <c r="H76" s="37" t="n">
        <v>0</v>
      </c>
      <c r="I76" s="2"/>
      <c r="J76" s="2"/>
      <c r="K76" s="2"/>
      <c r="L76" s="2"/>
      <c r="M76" s="2"/>
      <c r="N76" s="2"/>
      <c r="O76" s="2"/>
    </row>
    <row r="77" customFormat="false" ht="15.75" hidden="false" customHeight="true" outlineLevel="0" collapsed="false">
      <c r="A77" s="2"/>
      <c r="B77" s="93" t="n">
        <v>9</v>
      </c>
      <c r="C77" s="94" t="s">
        <v>78</v>
      </c>
      <c r="D77" s="64" t="n">
        <v>500</v>
      </c>
      <c r="E77" s="54" t="n">
        <v>0</v>
      </c>
      <c r="F77" s="35" t="n">
        <f aca="false">D77*E77</f>
        <v>0</v>
      </c>
      <c r="G77" s="36"/>
      <c r="H77" s="37" t="n">
        <v>0</v>
      </c>
      <c r="I77" s="2"/>
      <c r="J77" s="2"/>
      <c r="K77" s="2"/>
      <c r="L77" s="2"/>
      <c r="M77" s="2"/>
      <c r="N77" s="2"/>
      <c r="O77" s="2"/>
    </row>
    <row r="78" customFormat="false" ht="15.75" hidden="false" customHeight="true" outlineLevel="0" collapsed="false">
      <c r="A78" s="2"/>
      <c r="B78" s="93" t="n">
        <v>10</v>
      </c>
      <c r="C78" s="94" t="s">
        <v>79</v>
      </c>
      <c r="D78" s="64" t="n">
        <v>980</v>
      </c>
      <c r="E78" s="54" t="n">
        <v>0</v>
      </c>
      <c r="F78" s="35" t="n">
        <f aca="false">D78*E78</f>
        <v>0</v>
      </c>
      <c r="G78" s="36"/>
      <c r="H78" s="37" t="n">
        <v>0</v>
      </c>
      <c r="I78" s="2"/>
      <c r="J78" s="2"/>
      <c r="K78" s="2"/>
      <c r="L78" s="2"/>
      <c r="M78" s="2"/>
      <c r="N78" s="2"/>
      <c r="O78" s="2"/>
    </row>
    <row r="79" customFormat="false" ht="15.75" hidden="false" customHeight="true" outlineLevel="0" collapsed="false">
      <c r="A79" s="2"/>
      <c r="B79" s="95" t="n">
        <v>11</v>
      </c>
      <c r="C79" s="96" t="s">
        <v>80</v>
      </c>
      <c r="D79" s="64" t="n">
        <v>400</v>
      </c>
      <c r="E79" s="54" t="n">
        <v>0</v>
      </c>
      <c r="F79" s="35" t="n">
        <f aca="false">D79*E79</f>
        <v>0</v>
      </c>
      <c r="G79" s="36"/>
      <c r="H79" s="37" t="n">
        <v>0</v>
      </c>
      <c r="I79" s="2"/>
      <c r="J79" s="2"/>
      <c r="K79" s="2"/>
      <c r="L79" s="2"/>
      <c r="M79" s="2"/>
      <c r="N79" s="2"/>
      <c r="O79" s="2"/>
    </row>
    <row r="80" customFormat="false" ht="15.75" hidden="false" customHeight="true" outlineLevel="0" collapsed="false">
      <c r="A80" s="2"/>
      <c r="B80" s="95" t="n">
        <v>12</v>
      </c>
      <c r="C80" s="96" t="s">
        <v>81</v>
      </c>
      <c r="D80" s="64" t="n">
        <v>85</v>
      </c>
      <c r="E80" s="54" t="n">
        <v>5</v>
      </c>
      <c r="F80" s="35" t="n">
        <f aca="false">D80*E80</f>
        <v>425</v>
      </c>
      <c r="G80" s="36"/>
      <c r="H80" s="37" t="n">
        <v>0</v>
      </c>
      <c r="I80" s="2"/>
      <c r="J80" s="2"/>
      <c r="K80" s="2"/>
      <c r="L80" s="2"/>
      <c r="M80" s="2"/>
      <c r="N80" s="2"/>
      <c r="O80" s="2"/>
    </row>
    <row r="81" customFormat="false" ht="15.75" hidden="false" customHeight="true" outlineLevel="0" collapsed="false">
      <c r="A81" s="2"/>
      <c r="B81" s="97" t="n">
        <v>13</v>
      </c>
      <c r="C81" s="98" t="s">
        <v>82</v>
      </c>
      <c r="D81" s="64" t="n">
        <v>545</v>
      </c>
      <c r="E81" s="54" t="n">
        <v>0</v>
      </c>
      <c r="F81" s="35" t="n">
        <f aca="false">D81*E81</f>
        <v>0</v>
      </c>
      <c r="G81" s="36"/>
      <c r="H81" s="37" t="n">
        <v>0</v>
      </c>
      <c r="I81" s="2"/>
      <c r="J81" s="2"/>
      <c r="K81" s="2"/>
      <c r="L81" s="2"/>
      <c r="M81" s="2"/>
      <c r="N81" s="2"/>
      <c r="O81" s="2"/>
    </row>
    <row r="82" customFormat="false" ht="15.75" hidden="false" customHeight="true" outlineLevel="0" collapsed="false">
      <c r="A82" s="2"/>
      <c r="B82" s="97" t="n">
        <v>14</v>
      </c>
      <c r="C82" s="98" t="s">
        <v>83</v>
      </c>
      <c r="D82" s="64" t="n">
        <v>610</v>
      </c>
      <c r="E82" s="54" t="n">
        <v>0</v>
      </c>
      <c r="F82" s="35" t="n">
        <f aca="false">D82*E82</f>
        <v>0</v>
      </c>
      <c r="G82" s="36"/>
      <c r="H82" s="37" t="n">
        <v>0</v>
      </c>
      <c r="I82" s="2"/>
      <c r="J82" s="2"/>
      <c r="K82" s="2"/>
      <c r="L82" s="2"/>
      <c r="M82" s="2"/>
      <c r="N82" s="2"/>
      <c r="O82" s="2"/>
    </row>
    <row r="83" customFormat="false" ht="15.75" hidden="false" customHeight="true" outlineLevel="0" collapsed="false">
      <c r="A83" s="2"/>
      <c r="B83" s="97" t="n">
        <v>15</v>
      </c>
      <c r="C83" s="98" t="s">
        <v>84</v>
      </c>
      <c r="D83" s="64" t="n">
        <v>610</v>
      </c>
      <c r="E83" s="54" t="n">
        <v>0</v>
      </c>
      <c r="F83" s="35" t="n">
        <f aca="false">D83*E83</f>
        <v>0</v>
      </c>
      <c r="G83" s="36"/>
      <c r="H83" s="37" t="n">
        <v>0</v>
      </c>
      <c r="I83" s="2"/>
      <c r="J83" s="2"/>
      <c r="K83" s="2"/>
      <c r="L83" s="2"/>
      <c r="M83" s="2"/>
      <c r="N83" s="2"/>
      <c r="O83" s="2"/>
    </row>
    <row r="84" customFormat="false" ht="15.75" hidden="false" customHeight="true" outlineLevel="0" collapsed="false">
      <c r="A84" s="2"/>
      <c r="B84" s="97" t="n">
        <v>16</v>
      </c>
      <c r="C84" s="98" t="s">
        <v>85</v>
      </c>
      <c r="D84" s="64" t="n">
        <v>980</v>
      </c>
      <c r="E84" s="54" t="n">
        <v>0</v>
      </c>
      <c r="F84" s="35" t="n">
        <f aca="false">D84*E84</f>
        <v>0</v>
      </c>
      <c r="G84" s="36"/>
      <c r="H84" s="37" t="n">
        <v>0</v>
      </c>
      <c r="I84" s="2"/>
      <c r="J84" s="2"/>
      <c r="K84" s="2"/>
      <c r="L84" s="2"/>
      <c r="M84" s="2"/>
      <c r="N84" s="2"/>
      <c r="O84" s="2"/>
    </row>
    <row r="85" customFormat="false" ht="15.75" hidden="false" customHeight="true" outlineLevel="0" collapsed="false">
      <c r="A85" s="2"/>
      <c r="B85" s="99" t="n">
        <v>17</v>
      </c>
      <c r="C85" s="100" t="s">
        <v>86</v>
      </c>
      <c r="D85" s="64" t="n">
        <v>700</v>
      </c>
      <c r="E85" s="54" t="n">
        <v>0</v>
      </c>
      <c r="F85" s="35" t="n">
        <f aca="false">D85*E85</f>
        <v>0</v>
      </c>
      <c r="G85" s="36"/>
      <c r="H85" s="37" t="n">
        <v>0</v>
      </c>
      <c r="I85" s="2"/>
      <c r="J85" s="2"/>
      <c r="K85" s="2"/>
      <c r="L85" s="2"/>
      <c r="M85" s="2"/>
      <c r="N85" s="2"/>
      <c r="O85" s="2"/>
    </row>
    <row r="86" customFormat="false" ht="15.75" hidden="false" customHeight="true" outlineLevel="0" collapsed="false">
      <c r="A86" s="2"/>
      <c r="B86" s="99" t="n">
        <v>18</v>
      </c>
      <c r="C86" s="100" t="s">
        <v>87</v>
      </c>
      <c r="D86" s="64"/>
      <c r="E86" s="54" t="n">
        <v>0</v>
      </c>
      <c r="F86" s="35" t="n">
        <f aca="false">D86*E86</f>
        <v>0</v>
      </c>
      <c r="G86" s="36"/>
      <c r="H86" s="37" t="n">
        <v>0</v>
      </c>
      <c r="I86" s="2"/>
      <c r="J86" s="2"/>
      <c r="K86" s="2"/>
      <c r="L86" s="2"/>
      <c r="M86" s="2"/>
      <c r="N86" s="2"/>
      <c r="O86" s="2"/>
    </row>
    <row r="87" customFormat="false" ht="15.75" hidden="false" customHeight="true" outlineLevel="0" collapsed="false">
      <c r="A87" s="2"/>
      <c r="B87" s="99" t="n">
        <v>19</v>
      </c>
      <c r="C87" s="100" t="s">
        <v>88</v>
      </c>
      <c r="D87" s="64" t="n">
        <v>1640</v>
      </c>
      <c r="E87" s="54" t="n">
        <v>0</v>
      </c>
      <c r="F87" s="35" t="n">
        <f aca="false">D87*E87</f>
        <v>0</v>
      </c>
      <c r="G87" s="36"/>
      <c r="H87" s="37" t="n">
        <v>0</v>
      </c>
      <c r="I87" s="2"/>
      <c r="J87" s="2"/>
      <c r="K87" s="2"/>
      <c r="L87" s="2"/>
      <c r="M87" s="2"/>
      <c r="N87" s="2"/>
      <c r="O87" s="2"/>
    </row>
    <row r="88" customFormat="false" ht="15.75" hidden="false" customHeight="true" outlineLevel="0" collapsed="false">
      <c r="A88" s="2"/>
      <c r="B88" s="99" t="n">
        <v>20</v>
      </c>
      <c r="C88" s="100" t="s">
        <v>89</v>
      </c>
      <c r="D88" s="64" t="n">
        <v>695</v>
      </c>
      <c r="E88" s="54" t="n">
        <v>0</v>
      </c>
      <c r="F88" s="35" t="n">
        <f aca="false">D88*E88</f>
        <v>0</v>
      </c>
      <c r="G88" s="36"/>
      <c r="H88" s="37" t="n">
        <v>0</v>
      </c>
      <c r="I88" s="2"/>
      <c r="J88" s="2"/>
      <c r="K88" s="2"/>
      <c r="L88" s="2"/>
      <c r="M88" s="2"/>
      <c r="N88" s="2"/>
      <c r="O88" s="2"/>
    </row>
    <row r="89" customFormat="false" ht="15.75" hidden="false" customHeight="true" outlineLevel="0" collapsed="false">
      <c r="A89" s="2"/>
      <c r="B89" s="99" t="n">
        <v>21</v>
      </c>
      <c r="C89" s="100" t="s">
        <v>90</v>
      </c>
      <c r="D89" s="64" t="n">
        <v>2340</v>
      </c>
      <c r="E89" s="54" t="n">
        <v>0</v>
      </c>
      <c r="F89" s="35" t="n">
        <f aca="false">D89*E89</f>
        <v>0</v>
      </c>
      <c r="G89" s="36"/>
      <c r="H89" s="37" t="n">
        <v>0</v>
      </c>
      <c r="I89" s="2"/>
      <c r="J89" s="2"/>
      <c r="K89" s="2"/>
      <c r="L89" s="2"/>
      <c r="M89" s="2"/>
      <c r="N89" s="2"/>
      <c r="O89" s="2"/>
    </row>
    <row r="90" customFormat="false" ht="30" hidden="false" customHeight="true" outlineLevel="0" collapsed="false">
      <c r="A90" s="2"/>
      <c r="B90" s="47" t="s">
        <v>91</v>
      </c>
      <c r="C90" s="47"/>
      <c r="D90" s="101"/>
      <c r="E90" s="48" t="n">
        <v>0</v>
      </c>
      <c r="F90" s="48" t="n">
        <f aca="false">SUM(F67:F89)</f>
        <v>965</v>
      </c>
      <c r="G90" s="36"/>
      <c r="H90" s="37" t="n">
        <v>0</v>
      </c>
      <c r="I90" s="102"/>
      <c r="J90" s="102"/>
      <c r="K90" s="102"/>
      <c r="L90" s="102"/>
      <c r="M90" s="102"/>
      <c r="N90" s="102"/>
      <c r="O90" s="102"/>
    </row>
    <row r="91" customFormat="false" ht="15.75" hidden="false" customHeight="true" outlineLevel="0" collapsed="false">
      <c r="A91" s="2"/>
      <c r="B91" s="84"/>
      <c r="C91" s="85"/>
      <c r="D91" s="50"/>
      <c r="E91" s="50"/>
      <c r="F91" s="50"/>
      <c r="G91" s="50"/>
      <c r="H91" s="50"/>
      <c r="I91" s="2"/>
      <c r="J91" s="2"/>
      <c r="K91" s="2"/>
      <c r="L91" s="2"/>
      <c r="M91" s="2"/>
      <c r="N91" s="2"/>
      <c r="O91" s="2"/>
    </row>
    <row r="92" customFormat="false" ht="15.75" hidden="false" customHeight="true" outlineLevel="0" collapsed="false">
      <c r="A92" s="2"/>
      <c r="B92" s="86" t="s">
        <v>92</v>
      </c>
      <c r="C92" s="86"/>
      <c r="D92" s="50"/>
      <c r="E92" s="50"/>
      <c r="F92" s="50"/>
      <c r="G92" s="50"/>
      <c r="H92" s="50"/>
      <c r="I92" s="2"/>
      <c r="J92" s="2"/>
      <c r="K92" s="2"/>
      <c r="L92" s="2"/>
      <c r="M92" s="2"/>
      <c r="N92" s="2"/>
      <c r="O92" s="2"/>
    </row>
    <row r="93" customFormat="false" ht="15.75" hidden="false" customHeight="true" outlineLevel="0" collapsed="false">
      <c r="A93" s="2"/>
      <c r="B93" s="103" t="n">
        <v>1</v>
      </c>
      <c r="C93" s="104" t="s">
        <v>93</v>
      </c>
      <c r="D93" s="64" t="n">
        <v>10</v>
      </c>
      <c r="E93" s="54" t="n">
        <v>0</v>
      </c>
      <c r="F93" s="35" t="n">
        <f aca="false">D93*E93</f>
        <v>0</v>
      </c>
      <c r="G93" s="36"/>
      <c r="H93" s="37" t="n">
        <v>0</v>
      </c>
      <c r="I93" s="2"/>
      <c r="J93" s="2"/>
      <c r="K93" s="2"/>
      <c r="L93" s="2"/>
      <c r="M93" s="2"/>
      <c r="N93" s="2"/>
      <c r="O93" s="2"/>
    </row>
    <row r="94" customFormat="false" ht="15.75" hidden="false" customHeight="true" outlineLevel="0" collapsed="false">
      <c r="A94" s="2"/>
      <c r="B94" s="105" t="n">
        <v>2</v>
      </c>
      <c r="C94" s="106" t="s">
        <v>94</v>
      </c>
      <c r="D94" s="64" t="n">
        <v>10</v>
      </c>
      <c r="E94" s="54" t="n">
        <v>0</v>
      </c>
      <c r="F94" s="35" t="n">
        <f aca="false">D94*E94</f>
        <v>0</v>
      </c>
      <c r="G94" s="36"/>
      <c r="H94" s="37" t="n">
        <v>0</v>
      </c>
      <c r="I94" s="2"/>
      <c r="J94" s="2"/>
      <c r="K94" s="2"/>
      <c r="L94" s="2"/>
      <c r="M94" s="2"/>
      <c r="N94" s="2"/>
      <c r="O94" s="2"/>
    </row>
    <row r="95" customFormat="false" ht="15.75" hidden="false" customHeight="true" outlineLevel="0" collapsed="false">
      <c r="A95" s="2"/>
      <c r="B95" s="105" t="n">
        <v>3</v>
      </c>
      <c r="C95" s="106" t="s">
        <v>95</v>
      </c>
      <c r="D95" s="64" t="n">
        <v>10</v>
      </c>
      <c r="E95" s="54" t="n">
        <v>0</v>
      </c>
      <c r="F95" s="35" t="n">
        <f aca="false">D95*E95</f>
        <v>0</v>
      </c>
      <c r="G95" s="36"/>
      <c r="H95" s="37" t="n">
        <v>0</v>
      </c>
      <c r="I95" s="2"/>
      <c r="J95" s="2"/>
      <c r="K95" s="2"/>
      <c r="L95" s="2"/>
      <c r="M95" s="2"/>
      <c r="N95" s="2"/>
      <c r="O95" s="2"/>
    </row>
    <row r="96" customFormat="false" ht="15.75" hidden="false" customHeight="true" outlineLevel="0" collapsed="false">
      <c r="A96" s="2"/>
      <c r="B96" s="105" t="n">
        <v>4</v>
      </c>
      <c r="C96" s="107" t="s">
        <v>96</v>
      </c>
      <c r="D96" s="64" t="n">
        <v>10</v>
      </c>
      <c r="E96" s="54" t="n">
        <v>0</v>
      </c>
      <c r="F96" s="35" t="n">
        <f aca="false">D96*E96</f>
        <v>0</v>
      </c>
      <c r="G96" s="36"/>
      <c r="H96" s="37" t="n">
        <v>0</v>
      </c>
      <c r="I96" s="2"/>
      <c r="J96" s="2"/>
      <c r="K96" s="2"/>
      <c r="L96" s="2"/>
      <c r="M96" s="2"/>
      <c r="N96" s="2"/>
      <c r="O96" s="2"/>
    </row>
    <row r="97" customFormat="false" ht="15.75" hidden="false" customHeight="true" outlineLevel="0" collapsed="false">
      <c r="A97" s="2"/>
      <c r="B97" s="105" t="n">
        <v>5</v>
      </c>
      <c r="C97" s="108" t="s">
        <v>97</v>
      </c>
      <c r="D97" s="64" t="n">
        <v>10</v>
      </c>
      <c r="E97" s="54" t="n">
        <v>0</v>
      </c>
      <c r="F97" s="35" t="n">
        <f aca="false">D97*E97</f>
        <v>0</v>
      </c>
      <c r="G97" s="36"/>
      <c r="H97" s="37" t="n">
        <v>0</v>
      </c>
      <c r="I97" s="2"/>
      <c r="J97" s="2"/>
      <c r="K97" s="2"/>
      <c r="L97" s="2"/>
      <c r="M97" s="2"/>
      <c r="N97" s="2"/>
      <c r="O97" s="2"/>
    </row>
    <row r="98" customFormat="false" ht="15.75" hidden="false" customHeight="true" outlineLevel="0" collapsed="false">
      <c r="A98" s="2"/>
      <c r="B98" s="105" t="n">
        <v>6</v>
      </c>
      <c r="C98" s="109" t="s">
        <v>98</v>
      </c>
      <c r="D98" s="64" t="n">
        <v>10</v>
      </c>
      <c r="E98" s="54" t="n">
        <v>0</v>
      </c>
      <c r="F98" s="35" t="n">
        <f aca="false">D98*E98</f>
        <v>0</v>
      </c>
      <c r="G98" s="36"/>
      <c r="H98" s="37" t="n">
        <v>0</v>
      </c>
      <c r="I98" s="2"/>
      <c r="J98" s="2"/>
      <c r="K98" s="2"/>
      <c r="L98" s="2"/>
      <c r="M98" s="2"/>
      <c r="N98" s="2"/>
      <c r="O98" s="2"/>
    </row>
    <row r="99" customFormat="false" ht="15.75" hidden="false" customHeight="true" outlineLevel="0" collapsed="false">
      <c r="A99" s="2"/>
      <c r="B99" s="105" t="n">
        <v>7</v>
      </c>
      <c r="C99" s="109" t="s">
        <v>99</v>
      </c>
      <c r="D99" s="64" t="n">
        <v>40</v>
      </c>
      <c r="E99" s="54" t="n">
        <v>0</v>
      </c>
      <c r="F99" s="35" t="n">
        <f aca="false">D99*E99</f>
        <v>0</v>
      </c>
      <c r="G99" s="36"/>
      <c r="H99" s="37" t="n">
        <v>0</v>
      </c>
      <c r="I99" s="2"/>
      <c r="J99" s="2"/>
      <c r="K99" s="2"/>
      <c r="L99" s="2"/>
      <c r="M99" s="2"/>
      <c r="N99" s="2"/>
      <c r="O99" s="2"/>
    </row>
    <row r="100" customFormat="false" ht="15.75" hidden="false" customHeight="true" outlineLevel="0" collapsed="false">
      <c r="A100" s="2"/>
      <c r="B100" s="105" t="n">
        <v>8</v>
      </c>
      <c r="C100" s="109" t="s">
        <v>100</v>
      </c>
      <c r="D100" s="64" t="n">
        <v>10</v>
      </c>
      <c r="E100" s="54" t="n">
        <v>0</v>
      </c>
      <c r="F100" s="35" t="n">
        <f aca="false">D100*E100</f>
        <v>0</v>
      </c>
      <c r="G100" s="36"/>
      <c r="H100" s="37" t="n">
        <v>0</v>
      </c>
      <c r="I100" s="2"/>
      <c r="J100" s="2"/>
      <c r="K100" s="2"/>
      <c r="L100" s="2"/>
      <c r="M100" s="2"/>
      <c r="N100" s="2"/>
      <c r="O100" s="2"/>
    </row>
    <row r="101" customFormat="false" ht="15.75" hidden="false" customHeight="true" outlineLevel="0" collapsed="false">
      <c r="A101" s="2"/>
      <c r="B101" s="105" t="n">
        <v>9</v>
      </c>
      <c r="C101" s="109" t="s">
        <v>101</v>
      </c>
      <c r="D101" s="64" t="n">
        <v>10</v>
      </c>
      <c r="E101" s="54" t="n">
        <v>0</v>
      </c>
      <c r="F101" s="35" t="n">
        <f aca="false">D101*E101</f>
        <v>0</v>
      </c>
      <c r="G101" s="36"/>
      <c r="H101" s="37" t="n">
        <v>0</v>
      </c>
      <c r="I101" s="2"/>
      <c r="J101" s="2"/>
      <c r="K101" s="2"/>
      <c r="L101" s="2"/>
      <c r="M101" s="2"/>
      <c r="N101" s="2"/>
      <c r="O101" s="2"/>
    </row>
    <row r="102" customFormat="false" ht="15.75" hidden="false" customHeight="true" outlineLevel="0" collapsed="false">
      <c r="A102" s="2"/>
      <c r="B102" s="105" t="n">
        <v>10</v>
      </c>
      <c r="C102" s="109" t="s">
        <v>102</v>
      </c>
      <c r="D102" s="64" t="n">
        <v>10</v>
      </c>
      <c r="E102" s="54" t="n">
        <v>0</v>
      </c>
      <c r="F102" s="35" t="n">
        <f aca="false">D102*E102</f>
        <v>0</v>
      </c>
      <c r="G102" s="36"/>
      <c r="H102" s="37" t="n">
        <v>0</v>
      </c>
      <c r="I102" s="2"/>
      <c r="J102" s="2"/>
      <c r="K102" s="2"/>
      <c r="L102" s="2"/>
      <c r="M102" s="2"/>
      <c r="N102" s="2"/>
      <c r="O102" s="2"/>
    </row>
    <row r="103" customFormat="false" ht="15.75" hidden="false" customHeight="true" outlineLevel="0" collapsed="false">
      <c r="A103" s="2"/>
      <c r="B103" s="105" t="n">
        <v>11</v>
      </c>
      <c r="C103" s="109" t="s">
        <v>103</v>
      </c>
      <c r="D103" s="64" t="n">
        <v>10</v>
      </c>
      <c r="E103" s="54" t="n">
        <v>0</v>
      </c>
      <c r="F103" s="35" t="n">
        <f aca="false">D103*E103</f>
        <v>0</v>
      </c>
      <c r="G103" s="36"/>
      <c r="H103" s="37" t="n">
        <v>0</v>
      </c>
      <c r="I103" s="2"/>
      <c r="J103" s="2"/>
      <c r="K103" s="2"/>
      <c r="L103" s="2"/>
      <c r="M103" s="2"/>
      <c r="N103" s="2"/>
      <c r="O103" s="2"/>
    </row>
    <row r="104" customFormat="false" ht="15.75" hidden="false" customHeight="true" outlineLevel="0" collapsed="false">
      <c r="A104" s="2"/>
      <c r="B104" s="105" t="n">
        <v>12</v>
      </c>
      <c r="C104" s="109" t="s">
        <v>104</v>
      </c>
      <c r="D104" s="64" t="n">
        <v>10</v>
      </c>
      <c r="E104" s="54" t="n">
        <v>0</v>
      </c>
      <c r="F104" s="35" t="n">
        <f aca="false">D104*E104</f>
        <v>0</v>
      </c>
      <c r="G104" s="36"/>
      <c r="H104" s="37" t="n">
        <v>0</v>
      </c>
      <c r="I104" s="2"/>
      <c r="J104" s="2"/>
      <c r="K104" s="2"/>
      <c r="L104" s="2"/>
      <c r="M104" s="2"/>
      <c r="N104" s="2"/>
      <c r="O104" s="2"/>
    </row>
    <row r="105" customFormat="false" ht="15.75" hidden="false" customHeight="true" outlineLevel="0" collapsed="false">
      <c r="A105" s="2"/>
      <c r="B105" s="105" t="n">
        <v>13</v>
      </c>
      <c r="C105" s="109" t="s">
        <v>105</v>
      </c>
      <c r="D105" s="64" t="n">
        <v>10</v>
      </c>
      <c r="E105" s="54" t="n">
        <v>0</v>
      </c>
      <c r="F105" s="35" t="n">
        <f aca="false">D105*E105</f>
        <v>0</v>
      </c>
      <c r="G105" s="36"/>
      <c r="H105" s="37" t="n">
        <v>0</v>
      </c>
      <c r="I105" s="2"/>
      <c r="J105" s="2"/>
      <c r="K105" s="2"/>
      <c r="L105" s="2"/>
      <c r="M105" s="2"/>
      <c r="N105" s="2"/>
      <c r="O105" s="2"/>
    </row>
    <row r="106" customFormat="false" ht="15.75" hidden="false" customHeight="true" outlineLevel="0" collapsed="false">
      <c r="A106" s="2"/>
      <c r="B106" s="105" t="n">
        <v>14</v>
      </c>
      <c r="C106" s="109" t="s">
        <v>106</v>
      </c>
      <c r="D106" s="64" t="n">
        <v>10</v>
      </c>
      <c r="E106" s="54" t="n">
        <v>0</v>
      </c>
      <c r="F106" s="35" t="n">
        <f aca="false">D106*E106</f>
        <v>0</v>
      </c>
      <c r="G106" s="36"/>
      <c r="H106" s="37" t="n">
        <v>0</v>
      </c>
      <c r="I106" s="2"/>
      <c r="J106" s="2"/>
      <c r="K106" s="2"/>
      <c r="L106" s="2"/>
      <c r="M106" s="2"/>
      <c r="N106" s="2"/>
      <c r="O106" s="2"/>
    </row>
    <row r="107" customFormat="false" ht="15.75" hidden="false" customHeight="true" outlineLevel="0" collapsed="false">
      <c r="A107" s="2"/>
      <c r="B107" s="105" t="n">
        <v>15</v>
      </c>
      <c r="C107" s="109" t="s">
        <v>107</v>
      </c>
      <c r="D107" s="64" t="n">
        <v>135</v>
      </c>
      <c r="E107" s="54" t="n">
        <v>0</v>
      </c>
      <c r="F107" s="35" t="n">
        <f aca="false">D107*E107</f>
        <v>0</v>
      </c>
      <c r="G107" s="36"/>
      <c r="H107" s="37" t="n">
        <v>0</v>
      </c>
      <c r="I107" s="2"/>
      <c r="J107" s="2"/>
      <c r="K107" s="2"/>
      <c r="L107" s="2"/>
      <c r="M107" s="2"/>
      <c r="N107" s="2"/>
      <c r="O107" s="2"/>
    </row>
    <row r="108" customFormat="false" ht="15.75" hidden="false" customHeight="true" outlineLevel="0" collapsed="false">
      <c r="A108" s="2"/>
      <c r="B108" s="105" t="n">
        <v>16</v>
      </c>
      <c r="C108" s="109" t="s">
        <v>108</v>
      </c>
      <c r="D108" s="64" t="n">
        <v>10</v>
      </c>
      <c r="E108" s="54" t="n">
        <v>0</v>
      </c>
      <c r="F108" s="35" t="n">
        <f aca="false">D108*E108</f>
        <v>0</v>
      </c>
      <c r="G108" s="36"/>
      <c r="H108" s="37" t="n">
        <v>0</v>
      </c>
      <c r="I108" s="2"/>
      <c r="J108" s="2"/>
      <c r="K108" s="2"/>
      <c r="L108" s="2"/>
      <c r="M108" s="2"/>
      <c r="N108" s="2"/>
      <c r="O108" s="2"/>
    </row>
    <row r="109" customFormat="false" ht="15.75" hidden="false" customHeight="true" outlineLevel="0" collapsed="false">
      <c r="A109" s="2"/>
      <c r="B109" s="105" t="n">
        <v>17</v>
      </c>
      <c r="C109" s="109" t="s">
        <v>109</v>
      </c>
      <c r="D109" s="64" t="n">
        <v>10</v>
      </c>
      <c r="E109" s="54" t="n">
        <v>0</v>
      </c>
      <c r="F109" s="35" t="n">
        <f aca="false">D109*E109</f>
        <v>0</v>
      </c>
      <c r="G109" s="36"/>
      <c r="H109" s="37" t="n">
        <v>0</v>
      </c>
      <c r="I109" s="2"/>
      <c r="J109" s="2"/>
      <c r="K109" s="2"/>
      <c r="L109" s="2"/>
      <c r="M109" s="2"/>
      <c r="N109" s="2"/>
      <c r="O109" s="2"/>
    </row>
    <row r="110" customFormat="false" ht="15.75" hidden="false" customHeight="true" outlineLevel="0" collapsed="false">
      <c r="A110" s="2"/>
      <c r="B110" s="105" t="n">
        <v>18</v>
      </c>
      <c r="C110" s="109" t="s">
        <v>110</v>
      </c>
      <c r="D110" s="64" t="n">
        <v>10</v>
      </c>
      <c r="E110" s="54" t="n">
        <v>0</v>
      </c>
      <c r="F110" s="35" t="n">
        <f aca="false">D110*E110</f>
        <v>0</v>
      </c>
      <c r="G110" s="36"/>
      <c r="H110" s="37" t="n">
        <v>0</v>
      </c>
      <c r="I110" s="2"/>
      <c r="J110" s="2"/>
      <c r="K110" s="2"/>
      <c r="L110" s="2"/>
      <c r="M110" s="2"/>
      <c r="N110" s="2"/>
      <c r="O110" s="2"/>
    </row>
    <row r="111" customFormat="false" ht="21.75" hidden="false" customHeight="true" outlineLevel="0" collapsed="false">
      <c r="A111" s="2"/>
      <c r="B111" s="105" t="n">
        <v>19</v>
      </c>
      <c r="C111" s="110" t="s">
        <v>111</v>
      </c>
      <c r="D111" s="64" t="n">
        <v>10</v>
      </c>
      <c r="E111" s="54" t="n">
        <v>0</v>
      </c>
      <c r="F111" s="35" t="n">
        <f aca="false">D111*E111</f>
        <v>0</v>
      </c>
      <c r="G111" s="36"/>
      <c r="H111" s="37" t="n">
        <v>0</v>
      </c>
      <c r="I111" s="2"/>
      <c r="J111" s="2"/>
      <c r="K111" s="2"/>
      <c r="L111" s="2"/>
      <c r="M111" s="2"/>
      <c r="N111" s="2"/>
      <c r="O111" s="2"/>
    </row>
    <row r="112" customFormat="false" ht="15.75" hidden="false" customHeight="true" outlineLevel="0" collapsed="false">
      <c r="A112" s="2"/>
      <c r="B112" s="105" t="n">
        <v>20</v>
      </c>
      <c r="C112" s="109" t="s">
        <v>112</v>
      </c>
      <c r="D112" s="64" t="n">
        <v>10</v>
      </c>
      <c r="E112" s="54" t="n">
        <v>0</v>
      </c>
      <c r="F112" s="35" t="n">
        <f aca="false">D112*E112</f>
        <v>0</v>
      </c>
      <c r="G112" s="36"/>
      <c r="H112" s="37" t="n">
        <v>0</v>
      </c>
      <c r="I112" s="2"/>
      <c r="J112" s="2"/>
      <c r="K112" s="2"/>
      <c r="L112" s="2"/>
      <c r="M112" s="2"/>
      <c r="N112" s="2"/>
      <c r="O112" s="2"/>
    </row>
    <row r="113" customFormat="false" ht="15.75" hidden="false" customHeight="true" outlineLevel="0" collapsed="false">
      <c r="A113" s="2"/>
      <c r="B113" s="105" t="n">
        <v>21</v>
      </c>
      <c r="C113" s="109" t="s">
        <v>113</v>
      </c>
      <c r="D113" s="64" t="n">
        <v>10</v>
      </c>
      <c r="E113" s="54" t="n">
        <v>0</v>
      </c>
      <c r="F113" s="35" t="n">
        <f aca="false">D113*E113</f>
        <v>0</v>
      </c>
      <c r="G113" s="36"/>
      <c r="H113" s="37" t="n">
        <v>0</v>
      </c>
      <c r="I113" s="2"/>
      <c r="J113" s="2"/>
      <c r="K113" s="2"/>
      <c r="L113" s="2"/>
      <c r="M113" s="2"/>
      <c r="N113" s="2"/>
      <c r="O113" s="2"/>
    </row>
    <row r="114" customFormat="false" ht="15.75" hidden="false" customHeight="true" outlineLevel="0" collapsed="false">
      <c r="A114" s="2"/>
      <c r="B114" s="105" t="n">
        <v>22</v>
      </c>
      <c r="C114" s="109" t="s">
        <v>114</v>
      </c>
      <c r="D114" s="64" t="n">
        <v>10</v>
      </c>
      <c r="E114" s="54" t="n">
        <v>0</v>
      </c>
      <c r="F114" s="35" t="n">
        <f aca="false">D114*E114</f>
        <v>0</v>
      </c>
      <c r="G114" s="36"/>
      <c r="H114" s="37" t="n">
        <v>0</v>
      </c>
      <c r="I114" s="2"/>
      <c r="J114" s="2"/>
      <c r="K114" s="2"/>
      <c r="L114" s="2"/>
      <c r="M114" s="2"/>
      <c r="N114" s="2"/>
      <c r="O114" s="2"/>
    </row>
    <row r="115" customFormat="false" ht="15.75" hidden="false" customHeight="true" outlineLevel="0" collapsed="false">
      <c r="A115" s="2"/>
      <c r="B115" s="105" t="n">
        <v>23</v>
      </c>
      <c r="C115" s="109" t="s">
        <v>115</v>
      </c>
      <c r="D115" s="64" t="n">
        <v>10</v>
      </c>
      <c r="E115" s="54" t="n">
        <v>0</v>
      </c>
      <c r="F115" s="35" t="n">
        <f aca="false">D115*E115</f>
        <v>0</v>
      </c>
      <c r="G115" s="36"/>
      <c r="H115" s="37" t="n">
        <v>0</v>
      </c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>
      <c r="A116" s="2"/>
      <c r="B116" s="105" t="n">
        <v>24</v>
      </c>
      <c r="C116" s="109" t="s">
        <v>116</v>
      </c>
      <c r="D116" s="64" t="n">
        <v>10</v>
      </c>
      <c r="E116" s="54" t="n">
        <v>0</v>
      </c>
      <c r="F116" s="35" t="n">
        <f aca="false">D116*E116</f>
        <v>0</v>
      </c>
      <c r="G116" s="36"/>
      <c r="H116" s="37" t="n">
        <v>0</v>
      </c>
      <c r="I116" s="2"/>
      <c r="J116" s="2"/>
      <c r="K116" s="2"/>
      <c r="L116" s="2"/>
      <c r="M116" s="2"/>
      <c r="N116" s="2"/>
      <c r="O116" s="2"/>
    </row>
    <row r="117" customFormat="false" ht="15.75" hidden="false" customHeight="true" outlineLevel="0" collapsed="false">
      <c r="A117" s="2"/>
      <c r="B117" s="105" t="n">
        <v>25</v>
      </c>
      <c r="C117" s="109" t="s">
        <v>117</v>
      </c>
      <c r="D117" s="64" t="n">
        <v>10</v>
      </c>
      <c r="E117" s="54" t="n">
        <v>0</v>
      </c>
      <c r="F117" s="35" t="n">
        <f aca="false">D117*E117</f>
        <v>0</v>
      </c>
      <c r="G117" s="36"/>
      <c r="H117" s="37" t="n">
        <v>0</v>
      </c>
      <c r="I117" s="2"/>
      <c r="J117" s="2"/>
      <c r="K117" s="2"/>
      <c r="L117" s="2"/>
      <c r="M117" s="2"/>
      <c r="N117" s="2"/>
      <c r="O117" s="2"/>
    </row>
    <row r="118" customFormat="false" ht="15.75" hidden="false" customHeight="true" outlineLevel="0" collapsed="false">
      <c r="A118" s="2"/>
      <c r="B118" s="105" t="n">
        <v>26</v>
      </c>
      <c r="C118" s="109" t="s">
        <v>118</v>
      </c>
      <c r="D118" s="64" t="n">
        <v>10</v>
      </c>
      <c r="E118" s="54" t="n">
        <v>0</v>
      </c>
      <c r="F118" s="35" t="n">
        <f aca="false">D118*E118</f>
        <v>0</v>
      </c>
      <c r="G118" s="36"/>
      <c r="H118" s="37" t="n">
        <v>0</v>
      </c>
      <c r="I118" s="2"/>
      <c r="J118" s="2"/>
      <c r="K118" s="2"/>
      <c r="L118" s="2"/>
      <c r="M118" s="2"/>
      <c r="N118" s="2"/>
      <c r="O118" s="2"/>
    </row>
    <row r="119" customFormat="false" ht="15.75" hidden="false" customHeight="true" outlineLevel="0" collapsed="false">
      <c r="A119" s="2"/>
      <c r="B119" s="105" t="n">
        <v>27</v>
      </c>
      <c r="C119" s="109" t="s">
        <v>78</v>
      </c>
      <c r="D119" s="64" t="n">
        <v>10</v>
      </c>
      <c r="E119" s="54" t="n">
        <v>0</v>
      </c>
      <c r="F119" s="35" t="n">
        <f aca="false">D119*E119</f>
        <v>0</v>
      </c>
      <c r="G119" s="36"/>
      <c r="H119" s="37" t="n">
        <v>0</v>
      </c>
      <c r="I119" s="2"/>
      <c r="J119" s="2"/>
      <c r="K119" s="2"/>
      <c r="L119" s="2"/>
      <c r="M119" s="2"/>
      <c r="N119" s="2"/>
      <c r="O119" s="2"/>
    </row>
    <row r="120" customFormat="false" ht="15.75" hidden="false" customHeight="true" outlineLevel="0" collapsed="false">
      <c r="A120" s="2"/>
      <c r="B120" s="105" t="n">
        <v>28</v>
      </c>
      <c r="C120" s="109" t="s">
        <v>119</v>
      </c>
      <c r="D120" s="64" t="n">
        <v>10</v>
      </c>
      <c r="E120" s="54" t="n">
        <v>0</v>
      </c>
      <c r="F120" s="35" t="n">
        <f aca="false">D120*E120</f>
        <v>0</v>
      </c>
      <c r="G120" s="36"/>
      <c r="H120" s="37" t="n">
        <v>0</v>
      </c>
      <c r="I120" s="2"/>
      <c r="J120" s="2"/>
      <c r="K120" s="2"/>
      <c r="L120" s="2"/>
      <c r="M120" s="2"/>
      <c r="N120" s="2"/>
      <c r="O120" s="2"/>
    </row>
    <row r="121" customFormat="false" ht="15.75" hidden="false" customHeight="true" outlineLevel="0" collapsed="false">
      <c r="A121" s="2"/>
      <c r="B121" s="105" t="n">
        <v>29</v>
      </c>
      <c r="C121" s="109" t="s">
        <v>120</v>
      </c>
      <c r="D121" s="64" t="n">
        <v>10</v>
      </c>
      <c r="E121" s="54" t="n">
        <v>0</v>
      </c>
      <c r="F121" s="35" t="n">
        <f aca="false">D121*E121</f>
        <v>0</v>
      </c>
      <c r="G121" s="36"/>
      <c r="H121" s="37" t="n">
        <v>0</v>
      </c>
      <c r="I121" s="2"/>
      <c r="J121" s="2"/>
      <c r="K121" s="2"/>
      <c r="L121" s="2"/>
      <c r="M121" s="2"/>
      <c r="N121" s="2"/>
      <c r="O121" s="2"/>
    </row>
    <row r="122" customFormat="false" ht="15.75" hidden="false" customHeight="true" outlineLevel="0" collapsed="false">
      <c r="A122" s="2"/>
      <c r="B122" s="105" t="n">
        <v>30</v>
      </c>
      <c r="C122" s="109" t="s">
        <v>121</v>
      </c>
      <c r="D122" s="64" t="n">
        <v>40</v>
      </c>
      <c r="E122" s="54" t="n">
        <v>0</v>
      </c>
      <c r="F122" s="35" t="n">
        <f aca="false">D122*E122</f>
        <v>0</v>
      </c>
      <c r="G122" s="36"/>
      <c r="H122" s="37" t="n">
        <v>0</v>
      </c>
      <c r="I122" s="2"/>
      <c r="J122" s="2"/>
      <c r="K122" s="2"/>
      <c r="L122" s="2"/>
      <c r="M122" s="2"/>
      <c r="N122" s="2"/>
      <c r="O122" s="2"/>
    </row>
    <row r="123" customFormat="false" ht="15.75" hidden="false" customHeight="true" outlineLevel="0" collapsed="false">
      <c r="A123" s="2"/>
      <c r="B123" s="105" t="n">
        <v>31</v>
      </c>
      <c r="C123" s="108" t="s">
        <v>122</v>
      </c>
      <c r="D123" s="64" t="n">
        <v>90</v>
      </c>
      <c r="E123" s="54" t="n">
        <v>0</v>
      </c>
      <c r="F123" s="35" t="n">
        <f aca="false">D123*E123</f>
        <v>0</v>
      </c>
      <c r="G123" s="36"/>
      <c r="H123" s="37" t="n">
        <v>0</v>
      </c>
      <c r="I123" s="2"/>
      <c r="J123" s="2"/>
      <c r="K123" s="2"/>
      <c r="L123" s="2"/>
      <c r="M123" s="2"/>
      <c r="N123" s="2"/>
      <c r="O123" s="2"/>
    </row>
    <row r="124" customFormat="false" ht="15.75" hidden="false" customHeight="true" outlineLevel="0" collapsed="false">
      <c r="A124" s="2"/>
      <c r="B124" s="105" t="n">
        <v>32</v>
      </c>
      <c r="C124" s="109" t="s">
        <v>123</v>
      </c>
      <c r="D124" s="64" t="n">
        <v>10</v>
      </c>
      <c r="E124" s="54" t="n">
        <v>0</v>
      </c>
      <c r="F124" s="35" t="n">
        <f aca="false">D124*E124</f>
        <v>0</v>
      </c>
      <c r="G124" s="36"/>
      <c r="H124" s="37" t="n">
        <v>0</v>
      </c>
      <c r="I124" s="2"/>
      <c r="J124" s="2"/>
      <c r="K124" s="2"/>
      <c r="L124" s="2"/>
      <c r="M124" s="2"/>
      <c r="N124" s="2"/>
      <c r="O124" s="2"/>
    </row>
    <row r="125" customFormat="false" ht="15.75" hidden="false" customHeight="true" outlineLevel="0" collapsed="false">
      <c r="A125" s="2"/>
      <c r="B125" s="105" t="n">
        <v>33</v>
      </c>
      <c r="C125" s="109" t="s">
        <v>124</v>
      </c>
      <c r="D125" s="64" t="n">
        <v>10</v>
      </c>
      <c r="E125" s="54" t="n">
        <v>0</v>
      </c>
      <c r="F125" s="35" t="n">
        <f aca="false">D125*E125</f>
        <v>0</v>
      </c>
      <c r="G125" s="36"/>
      <c r="H125" s="37" t="n">
        <v>0</v>
      </c>
      <c r="I125" s="2"/>
      <c r="J125" s="2"/>
      <c r="K125" s="2"/>
      <c r="L125" s="2"/>
      <c r="M125" s="2"/>
      <c r="N125" s="2"/>
      <c r="O125" s="2"/>
    </row>
    <row r="126" customFormat="false" ht="15.75" hidden="false" customHeight="true" outlineLevel="0" collapsed="false">
      <c r="A126" s="2"/>
      <c r="B126" s="105" t="n">
        <v>34</v>
      </c>
      <c r="C126" s="109" t="s">
        <v>125</v>
      </c>
      <c r="D126" s="64" t="n">
        <v>10</v>
      </c>
      <c r="E126" s="54" t="n">
        <v>0</v>
      </c>
      <c r="F126" s="35" t="n">
        <f aca="false">D126*E126</f>
        <v>0</v>
      </c>
      <c r="G126" s="36"/>
      <c r="H126" s="37" t="n">
        <v>0</v>
      </c>
      <c r="I126" s="2"/>
      <c r="J126" s="2"/>
      <c r="K126" s="2"/>
      <c r="L126" s="2"/>
      <c r="M126" s="2"/>
      <c r="N126" s="2"/>
      <c r="O126" s="2"/>
    </row>
    <row r="127" customFormat="false" ht="15.75" hidden="false" customHeight="true" outlineLevel="0" collapsed="false">
      <c r="A127" s="2"/>
      <c r="B127" s="105" t="n">
        <v>35</v>
      </c>
      <c r="C127" s="109" t="s">
        <v>126</v>
      </c>
      <c r="D127" s="64" t="n">
        <v>30</v>
      </c>
      <c r="E127" s="54" t="n">
        <v>0</v>
      </c>
      <c r="F127" s="35" t="n">
        <f aca="false">D127*E127</f>
        <v>0</v>
      </c>
      <c r="G127" s="36"/>
      <c r="H127" s="37" t="n">
        <v>0</v>
      </c>
      <c r="I127" s="2"/>
      <c r="J127" s="2"/>
      <c r="K127" s="2"/>
      <c r="L127" s="2"/>
      <c r="M127" s="2"/>
      <c r="N127" s="2"/>
      <c r="O127" s="2"/>
    </row>
    <row r="128" customFormat="false" ht="15.75" hidden="false" customHeight="true" outlineLevel="0" collapsed="false">
      <c r="A128" s="2"/>
      <c r="B128" s="105" t="n">
        <v>36</v>
      </c>
      <c r="C128" s="109" t="s">
        <v>127</v>
      </c>
      <c r="D128" s="64" t="n">
        <v>10</v>
      </c>
      <c r="E128" s="54" t="n">
        <v>0</v>
      </c>
      <c r="F128" s="35" t="n">
        <f aca="false">D128*E128</f>
        <v>0</v>
      </c>
      <c r="G128" s="36"/>
      <c r="H128" s="37" t="n">
        <v>0</v>
      </c>
      <c r="I128" s="2"/>
      <c r="J128" s="2"/>
      <c r="K128" s="2"/>
      <c r="L128" s="2"/>
      <c r="M128" s="2"/>
      <c r="N128" s="2"/>
      <c r="O128" s="2"/>
    </row>
    <row r="129" customFormat="false" ht="15.75" hidden="false" customHeight="true" outlineLevel="0" collapsed="false">
      <c r="A129" s="2"/>
      <c r="B129" s="105" t="n">
        <v>37</v>
      </c>
      <c r="C129" s="109" t="s">
        <v>128</v>
      </c>
      <c r="D129" s="64" t="n">
        <v>30</v>
      </c>
      <c r="E129" s="54" t="n">
        <v>0</v>
      </c>
      <c r="F129" s="35" t="n">
        <f aca="false">D129*E129</f>
        <v>0</v>
      </c>
      <c r="G129" s="36"/>
      <c r="H129" s="37" t="n">
        <v>0</v>
      </c>
      <c r="I129" s="2"/>
      <c r="J129" s="2"/>
      <c r="K129" s="2"/>
      <c r="L129" s="2"/>
      <c r="M129" s="2"/>
      <c r="N129" s="2"/>
      <c r="O129" s="2"/>
    </row>
    <row r="130" customFormat="false" ht="24.75" hidden="false" customHeight="true" outlineLevel="0" collapsed="false">
      <c r="A130" s="2"/>
      <c r="B130" s="47" t="s">
        <v>129</v>
      </c>
      <c r="C130" s="47"/>
      <c r="D130" s="101"/>
      <c r="E130" s="48" t="n">
        <v>0</v>
      </c>
      <c r="F130" s="48" t="n">
        <f aca="false">SUM(F91:F129)</f>
        <v>0</v>
      </c>
      <c r="G130" s="36"/>
      <c r="H130" s="37" t="n">
        <v>0</v>
      </c>
      <c r="I130" s="102"/>
      <c r="J130" s="102"/>
      <c r="K130" s="102"/>
      <c r="L130" s="102"/>
      <c r="M130" s="102"/>
      <c r="N130" s="102"/>
      <c r="O130" s="102"/>
    </row>
    <row r="131" customFormat="false" ht="15.75" hidden="false" customHeight="true" outlineLevel="0" collapsed="false">
      <c r="A131" s="2"/>
      <c r="B131" s="111"/>
      <c r="C131" s="102"/>
      <c r="D131" s="50"/>
      <c r="E131" s="50"/>
      <c r="F131" s="50"/>
      <c r="G131" s="50"/>
      <c r="H131" s="50"/>
      <c r="I131" s="2"/>
      <c r="J131" s="2"/>
      <c r="K131" s="2"/>
      <c r="L131" s="2"/>
      <c r="M131" s="2"/>
      <c r="N131" s="2"/>
      <c r="O131" s="2"/>
    </row>
    <row r="132" customFormat="false" ht="15.75" hidden="false" customHeight="true" outlineLevel="0" collapsed="false">
      <c r="A132" s="2"/>
      <c r="B132" s="51" t="s">
        <v>130</v>
      </c>
      <c r="C132" s="51"/>
      <c r="D132" s="50"/>
      <c r="E132" s="50"/>
      <c r="F132" s="50"/>
      <c r="G132" s="50"/>
      <c r="H132" s="50"/>
      <c r="I132" s="2"/>
      <c r="J132" s="2"/>
      <c r="K132" s="2"/>
      <c r="L132" s="2"/>
      <c r="M132" s="2"/>
      <c r="N132" s="2"/>
      <c r="O132" s="2"/>
    </row>
    <row r="133" customFormat="false" ht="15.75" hidden="false" customHeight="true" outlineLevel="0" collapsed="false">
      <c r="A133" s="2"/>
      <c r="B133" s="112" t="n">
        <v>1</v>
      </c>
      <c r="C133" s="113" t="s">
        <v>131</v>
      </c>
      <c r="D133" s="64" t="n">
        <v>230</v>
      </c>
      <c r="E133" s="54" t="n">
        <v>0</v>
      </c>
      <c r="F133" s="35" t="n">
        <f aca="false">D133*E133</f>
        <v>0</v>
      </c>
      <c r="G133" s="36" t="n">
        <v>0</v>
      </c>
      <c r="H133" s="37" t="n">
        <v>0</v>
      </c>
      <c r="I133" s="2"/>
      <c r="J133" s="2"/>
      <c r="K133" s="2"/>
      <c r="L133" s="2"/>
      <c r="M133" s="2"/>
      <c r="N133" s="2"/>
      <c r="O133" s="2"/>
    </row>
    <row r="134" customFormat="false" ht="15.75" hidden="false" customHeight="true" outlineLevel="0" collapsed="false">
      <c r="A134" s="2"/>
      <c r="B134" s="114" t="n">
        <v>2</v>
      </c>
      <c r="C134" s="115" t="s">
        <v>132</v>
      </c>
      <c r="D134" s="64" t="n">
        <v>230</v>
      </c>
      <c r="E134" s="54" t="n">
        <v>0</v>
      </c>
      <c r="F134" s="35" t="n">
        <f aca="false">D134*E134</f>
        <v>0</v>
      </c>
      <c r="G134" s="36" t="n">
        <f aca="false">[1]مبيعات!BX129</f>
        <v>0</v>
      </c>
      <c r="H134" s="37" t="n">
        <v>0</v>
      </c>
      <c r="I134" s="2"/>
      <c r="J134" s="2"/>
      <c r="K134" s="2"/>
      <c r="L134" s="2"/>
      <c r="M134" s="2"/>
      <c r="N134" s="2"/>
      <c r="O134" s="2"/>
    </row>
    <row r="135" customFormat="false" ht="27.75" hidden="false" customHeight="true" outlineLevel="0" collapsed="false">
      <c r="A135" s="2"/>
      <c r="B135" s="47" t="s">
        <v>133</v>
      </c>
      <c r="C135" s="47"/>
      <c r="D135" s="101"/>
      <c r="E135" s="48" t="n">
        <v>0</v>
      </c>
      <c r="F135" s="48" t="n">
        <f aca="false">SUM(F131:F134)</f>
        <v>0</v>
      </c>
      <c r="G135" s="36"/>
      <c r="H135" s="37" t="n">
        <v>0</v>
      </c>
      <c r="I135" s="2"/>
      <c r="J135" s="2"/>
      <c r="K135" s="2"/>
      <c r="L135" s="2"/>
      <c r="M135" s="2"/>
      <c r="N135" s="2"/>
      <c r="O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27" hidden="false" customHeight="true" outlineLevel="0" collapsed="false">
      <c r="A137" s="2"/>
      <c r="B137" s="116" t="s">
        <v>134</v>
      </c>
      <c r="C137" s="116"/>
      <c r="D137" s="11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true" outlineLevel="0" collapsed="false">
      <c r="A138" s="2"/>
      <c r="B138" s="118" t="n">
        <v>1</v>
      </c>
      <c r="C138" s="119" t="s">
        <v>135</v>
      </c>
      <c r="D138" s="120" t="n">
        <v>215</v>
      </c>
      <c r="E138" s="54" t="n">
        <v>0</v>
      </c>
      <c r="F138" s="35" t="n">
        <f aca="false">D138*E138</f>
        <v>0</v>
      </c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true" outlineLevel="0" collapsed="false">
      <c r="A139" s="2"/>
      <c r="B139" s="121" t="n">
        <v>2</v>
      </c>
      <c r="C139" s="122" t="s">
        <v>136</v>
      </c>
      <c r="D139" s="120" t="n">
        <v>215</v>
      </c>
      <c r="E139" s="54" t="n">
        <v>1</v>
      </c>
      <c r="F139" s="35" t="n">
        <f aca="false">D139*E139</f>
        <v>215</v>
      </c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true" outlineLevel="0" collapsed="false">
      <c r="A140" s="2"/>
      <c r="B140" s="121" t="n">
        <v>3</v>
      </c>
      <c r="C140" s="122" t="s">
        <v>137</v>
      </c>
      <c r="D140" s="120" t="n">
        <v>215</v>
      </c>
      <c r="E140" s="54" t="n">
        <v>0</v>
      </c>
      <c r="F140" s="35" t="n">
        <f aca="false">D140*E140</f>
        <v>0</v>
      </c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true" outlineLevel="0" collapsed="false">
      <c r="A141" s="2"/>
      <c r="B141" s="121" t="n">
        <v>4</v>
      </c>
      <c r="C141" s="122" t="s">
        <v>138</v>
      </c>
      <c r="D141" s="120" t="n">
        <v>215</v>
      </c>
      <c r="E141" s="54" t="n">
        <v>0</v>
      </c>
      <c r="F141" s="35" t="n">
        <f aca="false">D141*E141</f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true" outlineLevel="0" collapsed="false">
      <c r="A142" s="2"/>
      <c r="B142" s="121" t="n">
        <v>5</v>
      </c>
      <c r="C142" s="122" t="s">
        <v>139</v>
      </c>
      <c r="D142" s="120" t="n">
        <v>215</v>
      </c>
      <c r="E142" s="54" t="n">
        <v>0</v>
      </c>
      <c r="F142" s="35" t="n">
        <f aca="false">D142*E142</f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true" outlineLevel="0" collapsed="false">
      <c r="A143" s="2"/>
      <c r="B143" s="121" t="n">
        <v>6</v>
      </c>
      <c r="C143" s="122" t="s">
        <v>140</v>
      </c>
      <c r="D143" s="120" t="n">
        <v>215</v>
      </c>
      <c r="E143" s="54" t="n">
        <v>0</v>
      </c>
      <c r="F143" s="35" t="n">
        <f aca="false">D143*E143</f>
        <v>0</v>
      </c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true" outlineLevel="0" collapsed="false">
      <c r="A144" s="2"/>
      <c r="B144" s="121" t="n">
        <v>7</v>
      </c>
      <c r="C144" s="122" t="s">
        <v>141</v>
      </c>
      <c r="D144" s="120" t="n">
        <v>215</v>
      </c>
      <c r="E144" s="54" t="n">
        <v>0</v>
      </c>
      <c r="F144" s="35" t="n">
        <f aca="false">D144*E144</f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true" outlineLevel="0" collapsed="false">
      <c r="A145" s="2"/>
      <c r="B145" s="121" t="n">
        <v>8</v>
      </c>
      <c r="C145" s="122" t="s">
        <v>142</v>
      </c>
      <c r="D145" s="120" t="n">
        <v>215</v>
      </c>
      <c r="E145" s="54" t="n">
        <v>0</v>
      </c>
      <c r="F145" s="35" t="n">
        <f aca="false">D145*E145</f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true" outlineLevel="0" collapsed="false">
      <c r="A146" s="2"/>
      <c r="B146" s="121" t="n">
        <v>9</v>
      </c>
      <c r="C146" s="122" t="s">
        <v>143</v>
      </c>
      <c r="D146" s="120" t="n">
        <v>215</v>
      </c>
      <c r="E146" s="54" t="n">
        <v>0</v>
      </c>
      <c r="F146" s="35" t="n">
        <f aca="false">D146*E146</f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true" outlineLevel="0" collapsed="false">
      <c r="A147" s="2"/>
      <c r="B147" s="123" t="n">
        <v>10</v>
      </c>
      <c r="C147" s="124" t="s">
        <v>144</v>
      </c>
      <c r="D147" s="120" t="n">
        <v>215</v>
      </c>
      <c r="E147" s="54" t="n">
        <v>0</v>
      </c>
      <c r="F147" s="35" t="n">
        <f aca="false">D147*E147</f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true" outlineLevel="0" collapsed="false">
      <c r="A148" s="2"/>
      <c r="B148" s="121" t="n">
        <v>11</v>
      </c>
      <c r="C148" s="122" t="s">
        <v>145</v>
      </c>
      <c r="D148" s="120" t="n">
        <v>215</v>
      </c>
      <c r="E148" s="54" t="n">
        <v>0</v>
      </c>
      <c r="F148" s="35" t="n">
        <f aca="false">D148*E148</f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true" outlineLevel="0" collapsed="false">
      <c r="A149" s="2"/>
      <c r="B149" s="121" t="n">
        <v>12</v>
      </c>
      <c r="C149" s="122" t="s">
        <v>146</v>
      </c>
      <c r="D149" s="120" t="n">
        <v>215</v>
      </c>
      <c r="E149" s="54" t="n">
        <v>0</v>
      </c>
      <c r="F149" s="35" t="n">
        <f aca="false">D149*E149</f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true" outlineLevel="0" collapsed="false">
      <c r="A150" s="2"/>
      <c r="B150" s="121" t="n">
        <v>13</v>
      </c>
      <c r="C150" s="122" t="s">
        <v>147</v>
      </c>
      <c r="D150" s="120" t="n">
        <v>215</v>
      </c>
      <c r="E150" s="54" t="n">
        <v>0</v>
      </c>
      <c r="F150" s="35" t="n">
        <f aca="false">D150*E150</f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true" outlineLevel="0" collapsed="false">
      <c r="A151" s="2"/>
      <c r="B151" s="121" t="n">
        <v>14</v>
      </c>
      <c r="C151" s="122" t="s">
        <v>148</v>
      </c>
      <c r="D151" s="120" t="n">
        <v>215</v>
      </c>
      <c r="E151" s="54" t="n">
        <v>0</v>
      </c>
      <c r="F151" s="35" t="n">
        <f aca="false">D151*E151</f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true" outlineLevel="0" collapsed="false">
      <c r="A152" s="2"/>
      <c r="B152" s="121" t="n">
        <v>15</v>
      </c>
      <c r="C152" s="125" t="s">
        <v>149</v>
      </c>
      <c r="D152" s="120" t="n">
        <v>215</v>
      </c>
      <c r="E152" s="54" t="n">
        <v>0</v>
      </c>
      <c r="F152" s="35" t="n">
        <f aca="false">D152*E152</f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true" outlineLevel="0" collapsed="false">
      <c r="A153" s="2"/>
      <c r="B153" s="121" t="n">
        <v>16</v>
      </c>
      <c r="C153" s="125" t="s">
        <v>150</v>
      </c>
      <c r="D153" s="120" t="n">
        <v>215</v>
      </c>
      <c r="E153" s="54" t="n">
        <v>0</v>
      </c>
      <c r="F153" s="35" t="n">
        <f aca="false">D153*E153</f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true" outlineLevel="0" collapsed="false">
      <c r="A154" s="2"/>
      <c r="B154" s="121" t="n">
        <v>17</v>
      </c>
      <c r="C154" s="125" t="s">
        <v>151</v>
      </c>
      <c r="D154" s="120" t="n">
        <v>215</v>
      </c>
      <c r="E154" s="54" t="n">
        <v>0</v>
      </c>
      <c r="F154" s="35" t="n">
        <f aca="false">D154*E154</f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true" outlineLevel="0" collapsed="false">
      <c r="A155" s="2"/>
      <c r="B155" s="121" t="n">
        <v>18</v>
      </c>
      <c r="C155" s="125" t="s">
        <v>152</v>
      </c>
      <c r="D155" s="120" t="n">
        <v>215</v>
      </c>
      <c r="E155" s="54" t="n">
        <v>0</v>
      </c>
      <c r="F155" s="35" t="n">
        <f aca="false">D155*E155</f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true" outlineLevel="0" collapsed="false">
      <c r="A156" s="2"/>
      <c r="B156" s="121" t="n">
        <v>19</v>
      </c>
      <c r="C156" s="125" t="s">
        <v>153</v>
      </c>
      <c r="D156" s="120" t="n">
        <v>215</v>
      </c>
      <c r="E156" s="54" t="n">
        <v>0</v>
      </c>
      <c r="F156" s="35" t="n">
        <f aca="false">D156*E156</f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true" outlineLevel="0" collapsed="false">
      <c r="A157" s="2"/>
      <c r="B157" s="121" t="n">
        <v>20</v>
      </c>
      <c r="C157" s="125" t="s">
        <v>154</v>
      </c>
      <c r="D157" s="120" t="n">
        <v>215</v>
      </c>
      <c r="E157" s="54" t="n">
        <v>0</v>
      </c>
      <c r="F157" s="35" t="n">
        <f aca="false">D157*E157</f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true" outlineLevel="0" collapsed="false">
      <c r="A158" s="2"/>
      <c r="B158" s="121" t="n">
        <v>21</v>
      </c>
      <c r="C158" s="125" t="s">
        <v>155</v>
      </c>
      <c r="D158" s="120" t="n">
        <v>215</v>
      </c>
      <c r="E158" s="54" t="n">
        <v>0</v>
      </c>
      <c r="F158" s="35" t="n">
        <f aca="false">D158*E158</f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true" outlineLevel="0" collapsed="false">
      <c r="A159" s="2"/>
      <c r="B159" s="121" t="n">
        <v>22</v>
      </c>
      <c r="C159" s="125" t="s">
        <v>156</v>
      </c>
      <c r="D159" s="120" t="n">
        <v>215</v>
      </c>
      <c r="E159" s="54" t="n">
        <v>0</v>
      </c>
      <c r="F159" s="35" t="n">
        <f aca="false">D159*E159</f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true" outlineLevel="0" collapsed="false">
      <c r="A160" s="2"/>
      <c r="B160" s="121" t="n">
        <v>23</v>
      </c>
      <c r="C160" s="125" t="s">
        <v>157</v>
      </c>
      <c r="D160" s="120" t="n">
        <v>215</v>
      </c>
      <c r="E160" s="54" t="n">
        <v>0</v>
      </c>
      <c r="F160" s="35" t="n">
        <f aca="false">D160*E160</f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true" outlineLevel="0" collapsed="false">
      <c r="A161" s="2"/>
      <c r="B161" s="121" t="n">
        <v>24</v>
      </c>
      <c r="C161" s="125" t="s">
        <v>158</v>
      </c>
      <c r="D161" s="120" t="n">
        <v>215</v>
      </c>
      <c r="E161" s="54" t="n">
        <v>0</v>
      </c>
      <c r="F161" s="35" t="n">
        <f aca="false">D161*E161</f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true" outlineLevel="0" collapsed="false">
      <c r="A162" s="2"/>
      <c r="B162" s="121" t="n">
        <v>25</v>
      </c>
      <c r="C162" s="125" t="s">
        <v>159</v>
      </c>
      <c r="D162" s="120" t="n">
        <v>215</v>
      </c>
      <c r="E162" s="54" t="n">
        <v>0</v>
      </c>
      <c r="F162" s="35" t="n">
        <f aca="false">D162*E162</f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true" outlineLevel="0" collapsed="false">
      <c r="A163" s="2"/>
      <c r="B163" s="121" t="n">
        <v>26</v>
      </c>
      <c r="C163" s="125" t="s">
        <v>160</v>
      </c>
      <c r="D163" s="120" t="n">
        <v>215</v>
      </c>
      <c r="E163" s="54" t="n">
        <v>0</v>
      </c>
      <c r="F163" s="35" t="n">
        <f aca="false">D163*E163</f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true" outlineLevel="0" collapsed="false">
      <c r="A164" s="2"/>
      <c r="B164" s="121" t="n">
        <v>27</v>
      </c>
      <c r="C164" s="125" t="s">
        <v>161</v>
      </c>
      <c r="D164" s="120" t="n">
        <v>215</v>
      </c>
      <c r="E164" s="54" t="n">
        <v>0</v>
      </c>
      <c r="F164" s="35" t="n">
        <f aca="false">D164*E164</f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true" outlineLevel="0" collapsed="false">
      <c r="A165" s="2"/>
      <c r="B165" s="121" t="n">
        <v>28</v>
      </c>
      <c r="C165" s="125" t="s">
        <v>162</v>
      </c>
      <c r="D165" s="120" t="n">
        <v>215</v>
      </c>
      <c r="E165" s="54" t="n">
        <v>0</v>
      </c>
      <c r="F165" s="35" t="n">
        <f aca="false">D165*E165</f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true" outlineLevel="0" collapsed="false">
      <c r="A166" s="2"/>
      <c r="B166" s="121" t="n">
        <v>29</v>
      </c>
      <c r="C166" s="125" t="s">
        <v>163</v>
      </c>
      <c r="D166" s="120" t="n">
        <v>215</v>
      </c>
      <c r="E166" s="54" t="n">
        <v>0</v>
      </c>
      <c r="F166" s="35" t="n">
        <f aca="false">D166*E166</f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true" outlineLevel="0" collapsed="false">
      <c r="A167" s="2"/>
      <c r="B167" s="121" t="n">
        <v>30</v>
      </c>
      <c r="C167" s="125" t="s">
        <v>164</v>
      </c>
      <c r="D167" s="120" t="n">
        <v>215</v>
      </c>
      <c r="E167" s="54" t="n">
        <v>0</v>
      </c>
      <c r="F167" s="35" t="n">
        <f aca="false">D167*E167</f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true" outlineLevel="0" collapsed="false">
      <c r="A168" s="2"/>
      <c r="B168" s="121" t="n">
        <v>31</v>
      </c>
      <c r="C168" s="125" t="s">
        <v>165</v>
      </c>
      <c r="D168" s="120" t="n">
        <v>215</v>
      </c>
      <c r="E168" s="54" t="n">
        <v>0</v>
      </c>
      <c r="F168" s="35" t="n">
        <f aca="false">D168*E168</f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true" outlineLevel="0" collapsed="false">
      <c r="A169" s="2"/>
      <c r="B169" s="121" t="n">
        <v>32</v>
      </c>
      <c r="C169" s="125" t="s">
        <v>166</v>
      </c>
      <c r="D169" s="120" t="n">
        <v>215</v>
      </c>
      <c r="E169" s="54" t="n">
        <v>0</v>
      </c>
      <c r="F169" s="35" t="n">
        <f aca="false">D169*E169</f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true" outlineLevel="0" collapsed="false">
      <c r="A170" s="2"/>
      <c r="B170" s="121" t="n">
        <v>33</v>
      </c>
      <c r="C170" s="125" t="s">
        <v>167</v>
      </c>
      <c r="D170" s="120" t="n">
        <v>215</v>
      </c>
      <c r="E170" s="54" t="n">
        <v>0</v>
      </c>
      <c r="F170" s="35" t="n">
        <f aca="false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true" outlineLevel="0" collapsed="false">
      <c r="A171" s="2"/>
      <c r="B171" s="121" t="n">
        <v>34</v>
      </c>
      <c r="C171" s="126" t="s">
        <v>168</v>
      </c>
      <c r="D171" s="120" t="n">
        <v>250</v>
      </c>
      <c r="E171" s="54" t="n">
        <v>1</v>
      </c>
      <c r="F171" s="35" t="n">
        <f aca="false">D171*E171</f>
        <v>250</v>
      </c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true" outlineLevel="0" collapsed="false">
      <c r="A172" s="2"/>
      <c r="B172" s="121" t="n">
        <v>35</v>
      </c>
      <c r="C172" s="126" t="s">
        <v>169</v>
      </c>
      <c r="D172" s="120" t="n">
        <v>250</v>
      </c>
      <c r="E172" s="54" t="n">
        <v>0</v>
      </c>
      <c r="F172" s="35" t="n">
        <f aca="false">D172*E172</f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true" outlineLevel="0" collapsed="false">
      <c r="A173" s="2"/>
      <c r="B173" s="121" t="n">
        <v>36</v>
      </c>
      <c r="C173" s="126" t="s">
        <v>170</v>
      </c>
      <c r="D173" s="120" t="n">
        <v>250</v>
      </c>
      <c r="E173" s="54" t="n">
        <v>0</v>
      </c>
      <c r="F173" s="35" t="n">
        <f aca="false">D173*E173</f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true" outlineLevel="0" collapsed="false">
      <c r="A174" s="2"/>
      <c r="B174" s="121" t="n">
        <v>37</v>
      </c>
      <c r="C174" s="126" t="s">
        <v>171</v>
      </c>
      <c r="D174" s="120" t="n">
        <v>250</v>
      </c>
      <c r="E174" s="54" t="n">
        <v>0</v>
      </c>
      <c r="F174" s="35" t="n">
        <f aca="false">D174*E174</f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true" outlineLevel="0" collapsed="false">
      <c r="A175" s="2"/>
      <c r="B175" s="121" t="n">
        <v>38</v>
      </c>
      <c r="C175" s="126" t="s">
        <v>172</v>
      </c>
      <c r="D175" s="120" t="n">
        <v>250</v>
      </c>
      <c r="E175" s="54" t="n">
        <v>0</v>
      </c>
      <c r="F175" s="35" t="n">
        <f aca="false">D175*E175</f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true" outlineLevel="0" collapsed="false">
      <c r="A176" s="2"/>
      <c r="B176" s="121" t="n">
        <v>39</v>
      </c>
      <c r="C176" s="126" t="s">
        <v>173</v>
      </c>
      <c r="D176" s="120" t="n">
        <v>250</v>
      </c>
      <c r="E176" s="54" t="n">
        <v>0</v>
      </c>
      <c r="F176" s="35" t="n">
        <f aca="false">D176*E176</f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true" outlineLevel="0" collapsed="false">
      <c r="A177" s="2"/>
      <c r="B177" s="121" t="n">
        <v>40</v>
      </c>
      <c r="C177" s="126" t="s">
        <v>174</v>
      </c>
      <c r="D177" s="120" t="n">
        <v>250</v>
      </c>
      <c r="E177" s="54" t="n">
        <v>0</v>
      </c>
      <c r="F177" s="35" t="n">
        <f aca="false">D177*E177</f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true" outlineLevel="0" collapsed="false">
      <c r="A178" s="2"/>
      <c r="B178" s="121" t="n">
        <v>41</v>
      </c>
      <c r="C178" s="126" t="s">
        <v>175</v>
      </c>
      <c r="D178" s="120" t="n">
        <v>250</v>
      </c>
      <c r="E178" s="54" t="n">
        <v>0</v>
      </c>
      <c r="F178" s="35" t="n">
        <f aca="false">D178*E178</f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true" outlineLevel="0" collapsed="false">
      <c r="A179" s="2"/>
      <c r="B179" s="121" t="n">
        <v>42</v>
      </c>
      <c r="C179" s="126" t="s">
        <v>176</v>
      </c>
      <c r="D179" s="120" t="n">
        <v>250</v>
      </c>
      <c r="E179" s="54" t="n">
        <v>0</v>
      </c>
      <c r="F179" s="35" t="n">
        <f aca="false">D179*E179</f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true" outlineLevel="0" collapsed="false">
      <c r="A180" s="2"/>
      <c r="B180" s="121" t="n">
        <v>43</v>
      </c>
      <c r="C180" s="126" t="s">
        <v>177</v>
      </c>
      <c r="D180" s="120" t="n">
        <v>250</v>
      </c>
      <c r="E180" s="54" t="n">
        <v>0</v>
      </c>
      <c r="F180" s="35" t="n">
        <f aca="false">D180*E180</f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true" outlineLevel="0" collapsed="false">
      <c r="A181" s="2"/>
      <c r="B181" s="121" t="n">
        <v>44</v>
      </c>
      <c r="C181" s="126" t="s">
        <v>178</v>
      </c>
      <c r="D181" s="120" t="n">
        <v>250</v>
      </c>
      <c r="E181" s="54" t="n">
        <v>0</v>
      </c>
      <c r="F181" s="35" t="n">
        <f aca="false">D181*E181</f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true" outlineLevel="0" collapsed="false">
      <c r="A182" s="2"/>
      <c r="B182" s="121" t="n">
        <v>45</v>
      </c>
      <c r="C182" s="126" t="s">
        <v>179</v>
      </c>
      <c r="D182" s="120" t="n">
        <v>250</v>
      </c>
      <c r="E182" s="54" t="n">
        <v>0</v>
      </c>
      <c r="F182" s="35" t="n">
        <f aca="false">D182*E182</f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true" outlineLevel="0" collapsed="false">
      <c r="A183" s="2"/>
      <c r="B183" s="121" t="n">
        <v>46</v>
      </c>
      <c r="C183" s="126" t="s">
        <v>180</v>
      </c>
      <c r="D183" s="120" t="n">
        <v>250</v>
      </c>
      <c r="E183" s="54" t="n">
        <v>0</v>
      </c>
      <c r="F183" s="35" t="n">
        <f aca="false">D183*E183</f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true" outlineLevel="0" collapsed="false">
      <c r="A184" s="2"/>
      <c r="B184" s="121" t="n">
        <v>47</v>
      </c>
      <c r="C184" s="126" t="s">
        <v>181</v>
      </c>
      <c r="D184" s="120" t="n">
        <v>250</v>
      </c>
      <c r="E184" s="54" t="n">
        <v>0</v>
      </c>
      <c r="F184" s="35" t="n">
        <f aca="false">D184*E184</f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true" outlineLevel="0" collapsed="false">
      <c r="A185" s="2"/>
      <c r="B185" s="121" t="n">
        <v>48</v>
      </c>
      <c r="C185" s="126" t="s">
        <v>182</v>
      </c>
      <c r="D185" s="120" t="n">
        <v>250</v>
      </c>
      <c r="E185" s="54" t="n">
        <v>0</v>
      </c>
      <c r="F185" s="35" t="n">
        <f aca="false">D185*E185</f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true" outlineLevel="0" collapsed="false">
      <c r="A186" s="2"/>
      <c r="B186" s="121" t="n">
        <v>49</v>
      </c>
      <c r="C186" s="126" t="s">
        <v>183</v>
      </c>
      <c r="D186" s="120" t="n">
        <v>250</v>
      </c>
      <c r="E186" s="54" t="n">
        <v>0</v>
      </c>
      <c r="F186" s="35" t="n">
        <f aca="false">D186*E186</f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true" outlineLevel="0" collapsed="false">
      <c r="A187" s="2"/>
      <c r="B187" s="121" t="n">
        <v>50</v>
      </c>
      <c r="C187" s="126" t="s">
        <v>184</v>
      </c>
      <c r="D187" s="120" t="n">
        <v>250</v>
      </c>
      <c r="E187" s="54" t="n">
        <v>0</v>
      </c>
      <c r="F187" s="35" t="n">
        <f aca="false">D187*E187</f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true" outlineLevel="0" collapsed="false">
      <c r="A188" s="2"/>
      <c r="B188" s="121" t="n">
        <v>51</v>
      </c>
      <c r="C188" s="126" t="s">
        <v>185</v>
      </c>
      <c r="D188" s="120" t="n">
        <v>250</v>
      </c>
      <c r="E188" s="54" t="n">
        <v>0</v>
      </c>
      <c r="F188" s="35" t="n">
        <f aca="false">D188*E188</f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true" outlineLevel="0" collapsed="false">
      <c r="A189" s="2"/>
      <c r="B189" s="121" t="n">
        <v>52</v>
      </c>
      <c r="C189" s="126" t="s">
        <v>186</v>
      </c>
      <c r="D189" s="120" t="n">
        <v>250</v>
      </c>
      <c r="E189" s="54" t="n">
        <v>0</v>
      </c>
      <c r="F189" s="35" t="n">
        <f aca="false">D189*E189</f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true" outlineLevel="0" collapsed="false">
      <c r="A190" s="2"/>
      <c r="B190" s="121" t="n">
        <v>53</v>
      </c>
      <c r="C190" s="126" t="s">
        <v>187</v>
      </c>
      <c r="D190" s="120" t="n">
        <v>250</v>
      </c>
      <c r="E190" s="54" t="n">
        <v>0</v>
      </c>
      <c r="F190" s="35" t="n">
        <f aca="false">D190*E190</f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true" outlineLevel="0" collapsed="false">
      <c r="A191" s="2"/>
      <c r="B191" s="121" t="n">
        <v>54</v>
      </c>
      <c r="C191" s="126" t="s">
        <v>188</v>
      </c>
      <c r="D191" s="120" t="n">
        <v>250</v>
      </c>
      <c r="E191" s="54" t="n">
        <v>0</v>
      </c>
      <c r="F191" s="35" t="n">
        <f aca="false">D191*E191</f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true" outlineLevel="0" collapsed="false">
      <c r="A192" s="2"/>
      <c r="B192" s="121" t="n">
        <v>55</v>
      </c>
      <c r="C192" s="127" t="s">
        <v>189</v>
      </c>
      <c r="D192" s="120" t="n">
        <v>1000</v>
      </c>
      <c r="E192" s="54" t="n">
        <v>0</v>
      </c>
      <c r="F192" s="35" t="n">
        <f aca="false">D192*E192</f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true" outlineLevel="0" collapsed="false">
      <c r="A193" s="2"/>
      <c r="B193" s="121" t="n">
        <v>56</v>
      </c>
      <c r="C193" s="127" t="s">
        <v>190</v>
      </c>
      <c r="D193" s="120" t="n">
        <v>1000</v>
      </c>
      <c r="E193" s="54" t="n">
        <v>0</v>
      </c>
      <c r="F193" s="35" t="n">
        <f aca="false">D193*E193</f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true" outlineLevel="0" collapsed="false">
      <c r="A194" s="2"/>
      <c r="B194" s="121" t="n">
        <v>57</v>
      </c>
      <c r="C194" s="127" t="s">
        <v>191</v>
      </c>
      <c r="D194" s="120" t="n">
        <v>1000</v>
      </c>
      <c r="E194" s="54" t="n">
        <v>0</v>
      </c>
      <c r="F194" s="35" t="n">
        <f aca="false">D194*E194</f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true" outlineLevel="0" collapsed="false">
      <c r="A195" s="2"/>
      <c r="B195" s="121" t="n">
        <v>58</v>
      </c>
      <c r="C195" s="127" t="s">
        <v>192</v>
      </c>
      <c r="D195" s="120" t="n">
        <v>1000</v>
      </c>
      <c r="E195" s="54" t="n">
        <v>0</v>
      </c>
      <c r="F195" s="35" t="n">
        <f aca="false">D195*E195</f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true" outlineLevel="0" collapsed="false">
      <c r="A196" s="2"/>
      <c r="B196" s="121" t="n">
        <v>59</v>
      </c>
      <c r="C196" s="127" t="s">
        <v>193</v>
      </c>
      <c r="D196" s="120" t="n">
        <v>1000</v>
      </c>
      <c r="E196" s="54" t="n">
        <v>0</v>
      </c>
      <c r="F196" s="35" t="n">
        <f aca="false">D196*E196</f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true" outlineLevel="0" collapsed="false">
      <c r="A197" s="2"/>
      <c r="B197" s="121" t="n">
        <v>60</v>
      </c>
      <c r="C197" s="127" t="s">
        <v>194</v>
      </c>
      <c r="D197" s="120" t="n">
        <v>1000</v>
      </c>
      <c r="E197" s="54" t="n">
        <v>0</v>
      </c>
      <c r="F197" s="35" t="n">
        <f aca="false">D197*E197</f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true" outlineLevel="0" collapsed="false">
      <c r="A198" s="2"/>
      <c r="B198" s="121" t="n">
        <v>61</v>
      </c>
      <c r="C198" s="127" t="s">
        <v>195</v>
      </c>
      <c r="D198" s="120" t="n">
        <v>1000</v>
      </c>
      <c r="E198" s="54" t="n">
        <v>0</v>
      </c>
      <c r="F198" s="35" t="n">
        <f aca="false">D198*E198</f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true" outlineLevel="0" collapsed="false">
      <c r="A199" s="2"/>
      <c r="B199" s="121" t="n">
        <v>62</v>
      </c>
      <c r="C199" s="127" t="s">
        <v>196</v>
      </c>
      <c r="D199" s="120" t="n">
        <v>1000</v>
      </c>
      <c r="E199" s="54" t="n">
        <v>0</v>
      </c>
      <c r="F199" s="35" t="n">
        <f aca="false">D199*E199</f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true" outlineLevel="0" collapsed="false">
      <c r="A200" s="2"/>
      <c r="B200" s="121" t="n">
        <v>63</v>
      </c>
      <c r="C200" s="127" t="s">
        <v>197</v>
      </c>
      <c r="D200" s="120" t="n">
        <v>1000</v>
      </c>
      <c r="E200" s="54" t="n">
        <v>0</v>
      </c>
      <c r="F200" s="35" t="n">
        <f aca="false">D200*E200</f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true" outlineLevel="0" collapsed="false">
      <c r="A201" s="2"/>
      <c r="B201" s="121" t="n">
        <v>64</v>
      </c>
      <c r="C201" s="127" t="s">
        <v>198</v>
      </c>
      <c r="D201" s="120" t="n">
        <v>1000</v>
      </c>
      <c r="E201" s="54" t="n">
        <v>0</v>
      </c>
      <c r="F201" s="35" t="n">
        <f aca="false">D201*E201</f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true" outlineLevel="0" collapsed="false">
      <c r="A202" s="2"/>
      <c r="B202" s="121" t="n">
        <v>65</v>
      </c>
      <c r="C202" s="127" t="s">
        <v>199</v>
      </c>
      <c r="D202" s="120" t="n">
        <v>1000</v>
      </c>
      <c r="E202" s="54" t="n">
        <v>0</v>
      </c>
      <c r="F202" s="35" t="n">
        <f aca="false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true" outlineLevel="0" collapsed="false">
      <c r="A203" s="2"/>
      <c r="B203" s="121" t="n">
        <v>66</v>
      </c>
      <c r="C203" s="127" t="s">
        <v>200</v>
      </c>
      <c r="D203" s="120" t="n">
        <v>1000</v>
      </c>
      <c r="E203" s="54" t="n">
        <v>0</v>
      </c>
      <c r="F203" s="35" t="n">
        <f aca="false">D203*E203</f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true" outlineLevel="0" collapsed="false">
      <c r="A204" s="2"/>
      <c r="B204" s="121" t="n">
        <v>67</v>
      </c>
      <c r="C204" s="127" t="s">
        <v>201</v>
      </c>
      <c r="D204" s="120" t="n">
        <v>1000</v>
      </c>
      <c r="E204" s="54" t="n">
        <v>1</v>
      </c>
      <c r="F204" s="35" t="n">
        <f aca="false">D204*E204</f>
        <v>1000</v>
      </c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true" outlineLevel="0" collapsed="false">
      <c r="A205" s="2"/>
      <c r="B205" s="121" t="n">
        <v>68</v>
      </c>
      <c r="C205" s="127" t="s">
        <v>202</v>
      </c>
      <c r="D205" s="120" t="n">
        <v>1000</v>
      </c>
      <c r="E205" s="54" t="n">
        <v>0</v>
      </c>
      <c r="F205" s="35" t="n">
        <f aca="false">D205*E205</f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true" outlineLevel="0" collapsed="false">
      <c r="A206" s="2"/>
      <c r="B206" s="121" t="n">
        <v>69</v>
      </c>
      <c r="C206" s="127" t="s">
        <v>203</v>
      </c>
      <c r="D206" s="120" t="n">
        <v>1000</v>
      </c>
      <c r="E206" s="54" t="n">
        <v>0</v>
      </c>
      <c r="F206" s="35" t="n">
        <f aca="false">D206*E206</f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true" outlineLevel="0" collapsed="false">
      <c r="A207" s="2"/>
      <c r="B207" s="121" t="n">
        <v>70</v>
      </c>
      <c r="C207" s="127" t="s">
        <v>204</v>
      </c>
      <c r="D207" s="120" t="n">
        <v>1000</v>
      </c>
      <c r="E207" s="54" t="n">
        <v>0</v>
      </c>
      <c r="F207" s="35" t="n">
        <f aca="false">D207*E207</f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true" outlineLevel="0" collapsed="false">
      <c r="A208" s="2"/>
      <c r="B208" s="121" t="n">
        <v>71</v>
      </c>
      <c r="C208" s="127" t="s">
        <v>205</v>
      </c>
      <c r="D208" s="120" t="n">
        <v>1000</v>
      </c>
      <c r="E208" s="54" t="n">
        <v>0</v>
      </c>
      <c r="F208" s="35" t="n">
        <f aca="false">D208*E208</f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true" outlineLevel="0" collapsed="false">
      <c r="A209" s="2"/>
      <c r="B209" s="121" t="n">
        <v>72</v>
      </c>
      <c r="C209" s="127" t="s">
        <v>206</v>
      </c>
      <c r="D209" s="120" t="n">
        <v>1000</v>
      </c>
      <c r="E209" s="54" t="n">
        <v>0</v>
      </c>
      <c r="F209" s="35" t="n">
        <f aca="false">D209*E209</f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true" outlineLevel="0" collapsed="false">
      <c r="A210" s="2"/>
      <c r="B210" s="121" t="n">
        <v>73</v>
      </c>
      <c r="C210" s="127" t="s">
        <v>207</v>
      </c>
      <c r="D210" s="120" t="n">
        <v>1000</v>
      </c>
      <c r="E210" s="54" t="n">
        <v>0</v>
      </c>
      <c r="F210" s="35" t="n">
        <f aca="false">D210*E210</f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true" outlineLevel="0" collapsed="false">
      <c r="A211" s="2"/>
      <c r="B211" s="121" t="n">
        <v>74</v>
      </c>
      <c r="C211" s="127" t="s">
        <v>208</v>
      </c>
      <c r="D211" s="120" t="n">
        <v>1000</v>
      </c>
      <c r="E211" s="54" t="n">
        <v>0</v>
      </c>
      <c r="F211" s="35" t="n">
        <f aca="false">D211*E211</f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true" outlineLevel="0" collapsed="false">
      <c r="A212" s="2"/>
      <c r="B212" s="121" t="n">
        <v>75</v>
      </c>
      <c r="C212" s="127" t="s">
        <v>209</v>
      </c>
      <c r="D212" s="120" t="n">
        <v>1000</v>
      </c>
      <c r="E212" s="54" t="n">
        <v>0</v>
      </c>
      <c r="F212" s="35" t="n">
        <f aca="false">D212*E212</f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true" outlineLevel="0" collapsed="false">
      <c r="A213" s="2"/>
      <c r="B213" s="121" t="n">
        <v>76</v>
      </c>
      <c r="C213" s="128" t="s">
        <v>210</v>
      </c>
      <c r="D213" s="120" t="n">
        <v>1000</v>
      </c>
      <c r="E213" s="54" t="n">
        <v>0</v>
      </c>
      <c r="F213" s="35" t="n">
        <f aca="false">D213*E213</f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true" outlineLevel="0" collapsed="false">
      <c r="A214" s="2"/>
      <c r="B214" s="121" t="n">
        <v>77</v>
      </c>
      <c r="C214" s="129" t="s">
        <v>211</v>
      </c>
      <c r="D214" s="120" t="n">
        <v>480</v>
      </c>
      <c r="E214" s="54" t="n">
        <v>2</v>
      </c>
      <c r="F214" s="35" t="n">
        <f aca="false">D214*E214</f>
        <v>960</v>
      </c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true" outlineLevel="0" collapsed="false">
      <c r="A215" s="2"/>
      <c r="B215" s="121" t="n">
        <v>78</v>
      </c>
      <c r="C215" s="130" t="s">
        <v>212</v>
      </c>
      <c r="D215" s="131" t="n">
        <v>565</v>
      </c>
      <c r="E215" s="54" t="n">
        <v>1</v>
      </c>
      <c r="F215" s="132" t="n">
        <f aca="false">D215*E215</f>
        <v>565</v>
      </c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27" hidden="false" customHeight="true" outlineLevel="0" collapsed="false">
      <c r="A216" s="2"/>
      <c r="B216" s="133" t="s">
        <v>213</v>
      </c>
      <c r="C216" s="133"/>
      <c r="D216" s="134"/>
      <c r="E216" s="135"/>
      <c r="F216" s="136" t="n">
        <f aca="false">SUM(F138:F215)</f>
        <v>2990</v>
      </c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4.25" hidden="false" customHeight="true" outlineLevel="0" collapsed="false">
      <c r="A222" s="2"/>
      <c r="B222" s="137" t="s">
        <v>0</v>
      </c>
      <c r="C222" s="137"/>
      <c r="D222" s="137" t="n">
        <f aca="false">F26+F54+F66+F90+F130+F135+F216</f>
        <v>50278</v>
      </c>
      <c r="E222" s="137"/>
      <c r="F222" s="137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3.5" hidden="false" customHeight="true" outlineLevel="0" collapsed="false">
      <c r="A223" s="2"/>
      <c r="B223" s="137"/>
      <c r="C223" s="137"/>
      <c r="D223" s="137"/>
      <c r="E223" s="137"/>
      <c r="F223" s="137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3.5" hidden="false" customHeight="true" outlineLevel="0" collapsed="false">
      <c r="A224" s="2"/>
      <c r="B224" s="137"/>
      <c r="C224" s="137"/>
      <c r="D224" s="137"/>
      <c r="E224" s="137"/>
      <c r="F224" s="137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" hidden="false" customHeight="true" outlineLevel="0" collapsed="false">
      <c r="A225" s="2"/>
      <c r="B225" s="137"/>
      <c r="C225" s="137"/>
      <c r="D225" s="137"/>
      <c r="E225" s="137"/>
      <c r="F225" s="137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" hidden="false" customHeight="true" outlineLevel="0" collapsed="false">
      <c r="A226" s="2"/>
      <c r="B226" s="137"/>
      <c r="C226" s="137"/>
      <c r="D226" s="137"/>
      <c r="E226" s="137"/>
      <c r="F226" s="137"/>
      <c r="G226" s="2"/>
      <c r="H226" s="2"/>
      <c r="I226" s="2"/>
      <c r="J226" s="2"/>
      <c r="K226" s="2"/>
      <c r="L226" s="2"/>
      <c r="M226" s="2"/>
      <c r="N226" s="2"/>
      <c r="O226" s="2"/>
    </row>
    <row r="229" customFormat="false" ht="15" hidden="false" customHeight="true" outlineLevel="0" collapsed="false">
      <c r="F229" s="138"/>
    </row>
  </sheetData>
  <mergeCells count="28">
    <mergeCell ref="B1:H1"/>
    <mergeCell ref="B2:H5"/>
    <mergeCell ref="B6:H6"/>
    <mergeCell ref="B7:C7"/>
    <mergeCell ref="D7:E7"/>
    <mergeCell ref="G7:H7"/>
    <mergeCell ref="B8:B9"/>
    <mergeCell ref="C8:C9"/>
    <mergeCell ref="D8:D9"/>
    <mergeCell ref="E8:E9"/>
    <mergeCell ref="F8:F9"/>
    <mergeCell ref="G8:H8"/>
    <mergeCell ref="B10:C10"/>
    <mergeCell ref="B26:C26"/>
    <mergeCell ref="B28:C28"/>
    <mergeCell ref="B54:C54"/>
    <mergeCell ref="B56:C56"/>
    <mergeCell ref="B66:C66"/>
    <mergeCell ref="B68:C68"/>
    <mergeCell ref="B90:C90"/>
    <mergeCell ref="B92:C92"/>
    <mergeCell ref="B130:C130"/>
    <mergeCell ref="B132:C132"/>
    <mergeCell ref="B135:C135"/>
    <mergeCell ref="B137:C137"/>
    <mergeCell ref="B216:C216"/>
    <mergeCell ref="B222:C226"/>
    <mergeCell ref="D222:F22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2025-10-04T11:39:33Z</dcterms:created>
  <dc:creator/>
  <dc:description/>
  <dc:language>ar-EG</dc:language>
  <cp:lastModifiedBy/>
  <dcterms:modified xsi:type="dcterms:W3CDTF">2025-11-03T14:07:05Z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