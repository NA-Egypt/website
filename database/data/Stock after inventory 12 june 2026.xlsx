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ony/Desktop/"/>
    </mc:Choice>
  </mc:AlternateContent>
  <xr:revisionPtr revIDLastSave="0" documentId="13_ncr:1_{16FE4866-E5DF-1749-AA07-30E665F4D93E}" xr6:coauthVersionLast="47" xr6:coauthVersionMax="47" xr10:uidLastSave="{00000000-0000-0000-0000-000000000000}"/>
  <bookViews>
    <workbookView xWindow="0" yWindow="500" windowWidth="19440" windowHeight="15000" activeTab="2" xr2:uid="{00000000-000D-0000-FFFF-FFFF00000000}"/>
  </bookViews>
  <sheets>
    <sheet name="جرد ١٥ فبراير ٢٠٢٥" sheetId="1" state="hidden" r:id="rId1"/>
    <sheet name="جرد ١٣ أغسطس ٢٠٢٥ مع الملاحظات" sheetId="2" state="hidden" r:id="rId2"/>
    <sheet name="العهدة الحالية" sheetId="3" r:id="rId3"/>
    <sheet name="الصادر بعد الجرد" sheetId="4" r:id="rId4"/>
    <sheet name="Inventory 12-6-2026" sheetId="7" state="hidden" r:id="rId5"/>
    <sheet name="الوارد بعد الجرد" sheetId="5" r:id="rId6"/>
    <sheet name="order received from WSO us 2024" sheetId="6" state="hidden" r:id="rId7"/>
  </sheets>
  <definedNames>
    <definedName name="_xlnm._FilterDatabase" localSheetId="0" hidden="1">'جرد ١٥ فبراير ٢٠٢٥'!$A$10:$F$204</definedName>
    <definedName name="_xlnm.Print_Area" localSheetId="0">'جرد ١٥ فبراير ٢٠٢٥'!$A$1:$F$204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209" i="7" l="1"/>
  <c r="D210" i="7"/>
  <c r="E210" i="7" s="1"/>
  <c r="D211" i="7"/>
  <c r="E211" i="7" s="1"/>
  <c r="D212" i="7"/>
  <c r="E212" i="7" s="1"/>
  <c r="D213" i="7"/>
  <c r="D214" i="7"/>
  <c r="D215" i="7"/>
  <c r="D216" i="7"/>
  <c r="E216" i="7" s="1"/>
  <c r="D217" i="7"/>
  <c r="E217" i="7" s="1"/>
  <c r="D218" i="7"/>
  <c r="E218" i="7" s="1"/>
  <c r="D219" i="7"/>
  <c r="D220" i="7"/>
  <c r="E220" i="7" s="1"/>
  <c r="D221" i="7"/>
  <c r="D222" i="7"/>
  <c r="D223" i="7"/>
  <c r="E223" i="7" s="1"/>
  <c r="D224" i="7"/>
  <c r="E224" i="7" s="1"/>
  <c r="D225" i="7"/>
  <c r="E225" i="7" s="1"/>
  <c r="D226" i="7"/>
  <c r="E226" i="7" s="1"/>
  <c r="D227" i="7"/>
  <c r="D228" i="7"/>
  <c r="E228" i="7" s="1"/>
  <c r="D208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3" i="7"/>
  <c r="E214" i="7"/>
  <c r="E215" i="7"/>
  <c r="E219" i="7"/>
  <c r="E221" i="7"/>
  <c r="E222" i="7"/>
  <c r="E227" i="7"/>
  <c r="E229" i="7"/>
  <c r="E230" i="7"/>
  <c r="E231" i="7"/>
  <c r="E12" i="7"/>
  <c r="Y5" i="4"/>
  <c r="Y6" i="4"/>
  <c r="Y7" i="4"/>
  <c r="D7" i="3" s="1"/>
  <c r="Y8" i="4"/>
  <c r="D8" i="3" s="1"/>
  <c r="Y9" i="4"/>
  <c r="D9" i="3" s="1"/>
  <c r="Y10" i="4"/>
  <c r="D10" i="3" s="1"/>
  <c r="Y11" i="4"/>
  <c r="D11" i="3" s="1"/>
  <c r="Y12" i="4"/>
  <c r="D12" i="3" s="1"/>
  <c r="Y13" i="4"/>
  <c r="Y14" i="4"/>
  <c r="Y15" i="4"/>
  <c r="Y16" i="4"/>
  <c r="D16" i="3" s="1"/>
  <c r="Y17" i="4"/>
  <c r="Y18" i="4"/>
  <c r="D18" i="3" s="1"/>
  <c r="Y19" i="4"/>
  <c r="Y20" i="4"/>
  <c r="Y21" i="4"/>
  <c r="Y22" i="4"/>
  <c r="Y23" i="4"/>
  <c r="AA23" i="4" s="1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AC5" i="5"/>
  <c r="E5" i="3" s="1"/>
  <c r="AC6" i="5"/>
  <c r="E6" i="3" s="1"/>
  <c r="AC7" i="5"/>
  <c r="E7" i="3" s="1"/>
  <c r="AC8" i="5"/>
  <c r="E8" i="3" s="1"/>
  <c r="AC9" i="5"/>
  <c r="E9" i="3" s="1"/>
  <c r="AC10" i="5"/>
  <c r="E10" i="3" s="1"/>
  <c r="AC11" i="5"/>
  <c r="E11" i="3" s="1"/>
  <c r="AC12" i="5"/>
  <c r="E12" i="3" s="1"/>
  <c r="AC13" i="5"/>
  <c r="E13" i="3" s="1"/>
  <c r="AC14" i="5"/>
  <c r="E14" i="3" s="1"/>
  <c r="AC15" i="5"/>
  <c r="E15" i="3" s="1"/>
  <c r="AC16" i="5"/>
  <c r="E16" i="3" s="1"/>
  <c r="AC17" i="5"/>
  <c r="E17" i="3" s="1"/>
  <c r="AC18" i="5"/>
  <c r="E18" i="3" s="1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125" i="5"/>
  <c r="AC126" i="5"/>
  <c r="AC127" i="5"/>
  <c r="AC128" i="5"/>
  <c r="AC129" i="5"/>
  <c r="AC130" i="5"/>
  <c r="AC131" i="5"/>
  <c r="AC132" i="5"/>
  <c r="AC133" i="5"/>
  <c r="AC134" i="5"/>
  <c r="AC135" i="5"/>
  <c r="AC136" i="5"/>
  <c r="AC137" i="5"/>
  <c r="AC138" i="5"/>
  <c r="AC139" i="5"/>
  <c r="AC140" i="5"/>
  <c r="AC141" i="5"/>
  <c r="AC142" i="5"/>
  <c r="AC143" i="5"/>
  <c r="AC144" i="5"/>
  <c r="AC145" i="5"/>
  <c r="AC146" i="5"/>
  <c r="AC147" i="5"/>
  <c r="AC148" i="5"/>
  <c r="AC149" i="5"/>
  <c r="AC150" i="5"/>
  <c r="AC151" i="5"/>
  <c r="AC152" i="5"/>
  <c r="AC153" i="5"/>
  <c r="AC154" i="5"/>
  <c r="AC155" i="5"/>
  <c r="AC156" i="5"/>
  <c r="AC157" i="5"/>
  <c r="AC158" i="5"/>
  <c r="AC159" i="5"/>
  <c r="AC160" i="5"/>
  <c r="AC161" i="5"/>
  <c r="AC162" i="5"/>
  <c r="AC163" i="5"/>
  <c r="AC164" i="5"/>
  <c r="AC165" i="5"/>
  <c r="AC166" i="5"/>
  <c r="AC167" i="5"/>
  <c r="AC168" i="5"/>
  <c r="AC169" i="5"/>
  <c r="AC170" i="5"/>
  <c r="AC171" i="5"/>
  <c r="AC172" i="5"/>
  <c r="AC173" i="5"/>
  <c r="AC174" i="5"/>
  <c r="AC175" i="5"/>
  <c r="AC176" i="5"/>
  <c r="AC177" i="5"/>
  <c r="AC178" i="5"/>
  <c r="AC179" i="5"/>
  <c r="AC180" i="5"/>
  <c r="AC181" i="5"/>
  <c r="AC182" i="5"/>
  <c r="AC183" i="5"/>
  <c r="AC184" i="5"/>
  <c r="AC185" i="5"/>
  <c r="AC186" i="5"/>
  <c r="AC187" i="5"/>
  <c r="AC188" i="5"/>
  <c r="AC189" i="5"/>
  <c r="AC190" i="5"/>
  <c r="AC191" i="5"/>
  <c r="AC192" i="5"/>
  <c r="AC193" i="5"/>
  <c r="AC194" i="5"/>
  <c r="AC195" i="5"/>
  <c r="AC196" i="5"/>
  <c r="AC197" i="5"/>
  <c r="AC198" i="5"/>
  <c r="AC199" i="5"/>
  <c r="AC200" i="5"/>
  <c r="AC201" i="5"/>
  <c r="AC202" i="5"/>
  <c r="AC203" i="5"/>
  <c r="AC204" i="5"/>
  <c r="AC205" i="5"/>
  <c r="AC206" i="5"/>
  <c r="AC207" i="5"/>
  <c r="AC208" i="5"/>
  <c r="AC209" i="5"/>
  <c r="AC210" i="5"/>
  <c r="AC211" i="5"/>
  <c r="AC212" i="5"/>
  <c r="AC213" i="5"/>
  <c r="AC214" i="5"/>
  <c r="AC215" i="5"/>
  <c r="AC216" i="5"/>
  <c r="AC217" i="5"/>
  <c r="AC218" i="5"/>
  <c r="AC219" i="5"/>
  <c r="AC220" i="5"/>
  <c r="AC221" i="5"/>
  <c r="AC222" i="5"/>
  <c r="AC223" i="5"/>
  <c r="AC224" i="5"/>
  <c r="AC225" i="5"/>
  <c r="AC226" i="5"/>
  <c r="AC227" i="5"/>
  <c r="AC228" i="5"/>
  <c r="AC229" i="5"/>
  <c r="AC230" i="5"/>
  <c r="AC231" i="5"/>
  <c r="AC232" i="5"/>
  <c r="AC233" i="5"/>
  <c r="AC234" i="5"/>
  <c r="D5" i="3"/>
  <c r="D6" i="3"/>
  <c r="D13" i="3"/>
  <c r="D14" i="3"/>
  <c r="D15" i="3"/>
  <c r="D17" i="3"/>
  <c r="F17" i="3" l="1"/>
  <c r="F18" i="3"/>
  <c r="F7" i="3"/>
  <c r="F13" i="3"/>
  <c r="F14" i="3"/>
  <c r="F8" i="3"/>
  <c r="F16" i="3"/>
  <c r="F15" i="3"/>
  <c r="F5" i="3"/>
  <c r="F9" i="3"/>
  <c r="F6" i="3"/>
  <c r="F12" i="3"/>
  <c r="F11" i="3"/>
  <c r="F10" i="3"/>
  <c r="D63" i="3"/>
  <c r="D65" i="3"/>
  <c r="D66" i="3"/>
  <c r="E58" i="3"/>
  <c r="E59" i="3"/>
  <c r="E60" i="3"/>
  <c r="E61" i="3"/>
  <c r="E62" i="3"/>
  <c r="E63" i="3"/>
  <c r="E64" i="3"/>
  <c r="E65" i="3"/>
  <c r="E66" i="3"/>
  <c r="D58" i="3"/>
  <c r="D59" i="3"/>
  <c r="D60" i="3"/>
  <c r="D61" i="3"/>
  <c r="D62" i="3"/>
  <c r="D64" i="3"/>
  <c r="E219" i="3"/>
  <c r="E220" i="3"/>
  <c r="E221" i="3"/>
  <c r="E222" i="3"/>
  <c r="E223" i="3"/>
  <c r="D130" i="3"/>
  <c r="F66" i="3" l="1"/>
  <c r="H66" i="3" s="1"/>
  <c r="F61" i="3"/>
  <c r="H61" i="3" s="1"/>
  <c r="F62" i="3"/>
  <c r="H62" i="3" s="1"/>
  <c r="F59" i="3"/>
  <c r="H59" i="3" s="1"/>
  <c r="F64" i="3"/>
  <c r="H64" i="3" s="1"/>
  <c r="F60" i="3"/>
  <c r="H60" i="3" s="1"/>
  <c r="F63" i="3"/>
  <c r="H63" i="3" s="1"/>
  <c r="F58" i="3"/>
  <c r="H58" i="3" s="1"/>
  <c r="F65" i="3"/>
  <c r="H65" i="3" s="1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7" i="3"/>
  <c r="E48" i="3"/>
  <c r="E49" i="3"/>
  <c r="E50" i="3"/>
  <c r="E51" i="3"/>
  <c r="E52" i="3"/>
  <c r="E53" i="3"/>
  <c r="E54" i="3"/>
  <c r="E55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F130" i="3" s="1"/>
  <c r="H130" i="3" s="1"/>
  <c r="E133" i="3"/>
  <c r="E134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7" i="3"/>
  <c r="D48" i="3"/>
  <c r="D49" i="3"/>
  <c r="D50" i="3"/>
  <c r="D51" i="3"/>
  <c r="D52" i="3"/>
  <c r="D53" i="3"/>
  <c r="D54" i="3"/>
  <c r="D55" i="3"/>
  <c r="D69" i="3"/>
  <c r="D70" i="3"/>
  <c r="D71" i="3"/>
  <c r="D72" i="3"/>
  <c r="D73" i="3"/>
  <c r="D74" i="3"/>
  <c r="D75" i="3"/>
  <c r="D76" i="3"/>
  <c r="F76" i="3" s="1"/>
  <c r="H76" i="3" s="1"/>
  <c r="D77" i="3"/>
  <c r="D78" i="3"/>
  <c r="D79" i="3"/>
  <c r="D80" i="3"/>
  <c r="D81" i="3"/>
  <c r="D82" i="3"/>
  <c r="D83" i="3"/>
  <c r="D84" i="3"/>
  <c r="F84" i="3" s="1"/>
  <c r="H84" i="3" s="1"/>
  <c r="D85" i="3"/>
  <c r="D86" i="3"/>
  <c r="D87" i="3"/>
  <c r="D88" i="3"/>
  <c r="D89" i="3"/>
  <c r="D90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3" i="3"/>
  <c r="D134" i="3"/>
  <c r="D137" i="3"/>
  <c r="D138" i="3"/>
  <c r="F138" i="3" s="1"/>
  <c r="H138" i="3" s="1"/>
  <c r="D139" i="3"/>
  <c r="D140" i="3"/>
  <c r="D141" i="3"/>
  <c r="D142" i="3"/>
  <c r="D143" i="3"/>
  <c r="D144" i="3"/>
  <c r="D145" i="3"/>
  <c r="D146" i="3"/>
  <c r="F146" i="3" s="1"/>
  <c r="H146" i="3" s="1"/>
  <c r="D147" i="3"/>
  <c r="D148" i="3"/>
  <c r="D149" i="3"/>
  <c r="D150" i="3"/>
  <c r="F150" i="3" s="1"/>
  <c r="H150" i="3" s="1"/>
  <c r="D151" i="3"/>
  <c r="D152" i="3"/>
  <c r="D153" i="3"/>
  <c r="D154" i="3"/>
  <c r="D155" i="3"/>
  <c r="D156" i="3"/>
  <c r="D157" i="3"/>
  <c r="D158" i="3"/>
  <c r="D159" i="3"/>
  <c r="D160" i="3"/>
  <c r="D161" i="3"/>
  <c r="D162" i="3"/>
  <c r="F162" i="3" s="1"/>
  <c r="H162" i="3" s="1"/>
  <c r="D163" i="3"/>
  <c r="D164" i="3"/>
  <c r="D165" i="3"/>
  <c r="D166" i="3"/>
  <c r="D167" i="3"/>
  <c r="D168" i="3"/>
  <c r="D169" i="3"/>
  <c r="D170" i="3"/>
  <c r="F170" i="3" s="1"/>
  <c r="H170" i="3" s="1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F186" i="3" s="1"/>
  <c r="H186" i="3" s="1"/>
  <c r="D187" i="3"/>
  <c r="D188" i="3"/>
  <c r="D189" i="3"/>
  <c r="D190" i="3"/>
  <c r="D191" i="3"/>
  <c r="D192" i="3"/>
  <c r="D193" i="3"/>
  <c r="D194" i="3"/>
  <c r="F194" i="3" s="1"/>
  <c r="H194" i="3" s="1"/>
  <c r="D195" i="3"/>
  <c r="D196" i="3"/>
  <c r="D197" i="3"/>
  <c r="D198" i="3"/>
  <c r="D199" i="3"/>
  <c r="D200" i="3"/>
  <c r="D201" i="3"/>
  <c r="D202" i="3"/>
  <c r="F202" i="3" s="1"/>
  <c r="H202" i="3" s="1"/>
  <c r="D203" i="3"/>
  <c r="D204" i="3"/>
  <c r="D205" i="3"/>
  <c r="D206" i="3"/>
  <c r="D207" i="3"/>
  <c r="D208" i="3"/>
  <c r="F208" i="3" s="1"/>
  <c r="H208" i="3" s="1"/>
  <c r="D209" i="3"/>
  <c r="D210" i="3"/>
  <c r="F210" i="3" s="1"/>
  <c r="H210" i="3" s="1"/>
  <c r="D211" i="3"/>
  <c r="D212" i="3"/>
  <c r="D213" i="3"/>
  <c r="D214" i="3"/>
  <c r="D215" i="3"/>
  <c r="D216" i="3"/>
  <c r="D217" i="3"/>
  <c r="D218" i="3"/>
  <c r="D219" i="3"/>
  <c r="F219" i="3" s="1"/>
  <c r="H219" i="3" s="1"/>
  <c r="D220" i="3"/>
  <c r="F220" i="3" s="1"/>
  <c r="H220" i="3" s="1"/>
  <c r="D221" i="3"/>
  <c r="F221" i="3" s="1"/>
  <c r="H221" i="3" s="1"/>
  <c r="D222" i="3"/>
  <c r="F222" i="3" s="1"/>
  <c r="H222" i="3" s="1"/>
  <c r="D223" i="3"/>
  <c r="F223" i="3" s="1"/>
  <c r="H223" i="3" s="1"/>
  <c r="I34" i="6"/>
  <c r="F34" i="6"/>
  <c r="I33" i="6"/>
  <c r="F33" i="6"/>
  <c r="I32" i="6"/>
  <c r="F32" i="6"/>
  <c r="I31" i="6"/>
  <c r="F31" i="6"/>
  <c r="I30" i="6"/>
  <c r="F30" i="6"/>
  <c r="I29" i="6"/>
  <c r="F29" i="6"/>
  <c r="I28" i="6"/>
  <c r="F28" i="6"/>
  <c r="I27" i="6"/>
  <c r="F27" i="6"/>
  <c r="I26" i="6"/>
  <c r="F26" i="6"/>
  <c r="I25" i="6"/>
  <c r="F25" i="6"/>
  <c r="I24" i="6"/>
  <c r="F24" i="6"/>
  <c r="I23" i="6"/>
  <c r="F23" i="6"/>
  <c r="I17" i="6"/>
  <c r="G17" i="6"/>
  <c r="H17" i="6" s="1"/>
  <c r="I16" i="6"/>
  <c r="G16" i="6"/>
  <c r="H16" i="6" s="1"/>
  <c r="I15" i="6"/>
  <c r="G15" i="6"/>
  <c r="H15" i="6" s="1"/>
  <c r="I14" i="6"/>
  <c r="G14" i="6"/>
  <c r="H14" i="6" s="1"/>
  <c r="I13" i="6"/>
  <c r="G13" i="6"/>
  <c r="H13" i="6" s="1"/>
  <c r="G12" i="6"/>
  <c r="E12" i="6"/>
  <c r="C12" i="6"/>
  <c r="G11" i="6"/>
  <c r="E11" i="6"/>
  <c r="C11" i="6"/>
  <c r="G10" i="6"/>
  <c r="E10" i="6"/>
  <c r="C10" i="6"/>
  <c r="G9" i="6"/>
  <c r="E9" i="6"/>
  <c r="C9" i="6"/>
  <c r="G8" i="6"/>
  <c r="E8" i="6"/>
  <c r="C8" i="6"/>
  <c r="G7" i="6"/>
  <c r="E7" i="6"/>
  <c r="C7" i="6"/>
  <c r="G6" i="6"/>
  <c r="E6" i="6"/>
  <c r="C6" i="6"/>
  <c r="G5" i="6"/>
  <c r="E5" i="6"/>
  <c r="C5" i="6"/>
  <c r="G4" i="6"/>
  <c r="E4" i="6"/>
  <c r="C4" i="6"/>
  <c r="AC4" i="5"/>
  <c r="E4" i="3" s="1"/>
  <c r="Y4" i="4"/>
  <c r="D4" i="3" s="1"/>
  <c r="K90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55" i="3"/>
  <c r="K54" i="3"/>
  <c r="K53" i="3"/>
  <c r="K52" i="3"/>
  <c r="K51" i="3"/>
  <c r="K50" i="3"/>
  <c r="K49" i="3"/>
  <c r="K48" i="3"/>
  <c r="K47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4" i="2"/>
  <c r="E123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0" i="2"/>
  <c r="E59" i="2"/>
  <c r="E58" i="2"/>
  <c r="E57" i="2"/>
  <c r="E56" i="2"/>
  <c r="E55" i="2"/>
  <c r="E54" i="2"/>
  <c r="E53" i="2"/>
  <c r="E52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5" i="1"/>
  <c r="E124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1" i="1"/>
  <c r="E60" i="1"/>
  <c r="E59" i="1"/>
  <c r="E58" i="1"/>
  <c r="E57" i="1"/>
  <c r="E56" i="1"/>
  <c r="E55" i="1"/>
  <c r="E54" i="1"/>
  <c r="E53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H4" i="6" l="1"/>
  <c r="I7" i="6"/>
  <c r="I11" i="6"/>
  <c r="I8" i="6"/>
  <c r="H11" i="6"/>
  <c r="H8" i="6"/>
  <c r="F124" i="3"/>
  <c r="H124" i="3" s="1"/>
  <c r="F116" i="3"/>
  <c r="H116" i="3" s="1"/>
  <c r="F108" i="3"/>
  <c r="H108" i="3" s="1"/>
  <c r="F100" i="3"/>
  <c r="H100" i="3" s="1"/>
  <c r="F192" i="3"/>
  <c r="H192" i="3" s="1"/>
  <c r="F184" i="3"/>
  <c r="H184" i="3" s="1"/>
  <c r="F176" i="3"/>
  <c r="H176" i="3" s="1"/>
  <c r="F164" i="3"/>
  <c r="H164" i="3" s="1"/>
  <c r="F156" i="3"/>
  <c r="H156" i="3" s="1"/>
  <c r="F140" i="3"/>
  <c r="H140" i="3" s="1"/>
  <c r="F217" i="3"/>
  <c r="H217" i="3" s="1"/>
  <c r="F201" i="3"/>
  <c r="H201" i="3" s="1"/>
  <c r="F197" i="3"/>
  <c r="H197" i="3" s="1"/>
  <c r="F193" i="3"/>
  <c r="H193" i="3" s="1"/>
  <c r="F185" i="3"/>
  <c r="H185" i="3" s="1"/>
  <c r="F181" i="3"/>
  <c r="H181" i="3" s="1"/>
  <c r="F173" i="3"/>
  <c r="H173" i="3" s="1"/>
  <c r="F169" i="3"/>
  <c r="H169" i="3" s="1"/>
  <c r="F161" i="3"/>
  <c r="H161" i="3" s="1"/>
  <c r="F153" i="3"/>
  <c r="H153" i="3" s="1"/>
  <c r="F149" i="3"/>
  <c r="H149" i="3" s="1"/>
  <c r="F145" i="3"/>
  <c r="H145" i="3" s="1"/>
  <c r="F141" i="3"/>
  <c r="H141" i="3" s="1"/>
  <c r="F137" i="3"/>
  <c r="H137" i="3" s="1"/>
  <c r="F216" i="3"/>
  <c r="H216" i="3" s="1"/>
  <c r="F200" i="3"/>
  <c r="H200" i="3" s="1"/>
  <c r="F180" i="3"/>
  <c r="H180" i="3" s="1"/>
  <c r="F168" i="3"/>
  <c r="H168" i="3" s="1"/>
  <c r="F160" i="3"/>
  <c r="H160" i="3" s="1"/>
  <c r="F152" i="3"/>
  <c r="H152" i="3" s="1"/>
  <c r="F148" i="3"/>
  <c r="H148" i="3" s="1"/>
  <c r="F144" i="3"/>
  <c r="H144" i="3" s="1"/>
  <c r="F134" i="3"/>
  <c r="H134" i="3" s="1"/>
  <c r="F187" i="3"/>
  <c r="H187" i="3" s="1"/>
  <c r="F171" i="3"/>
  <c r="H171" i="3" s="1"/>
  <c r="F163" i="3"/>
  <c r="H163" i="3" s="1"/>
  <c r="F155" i="3"/>
  <c r="H155" i="3" s="1"/>
  <c r="F139" i="3"/>
  <c r="H139" i="3" s="1"/>
  <c r="F133" i="3"/>
  <c r="H133" i="3" s="1"/>
  <c r="I35" i="6"/>
  <c r="I9" i="6"/>
  <c r="H7" i="6"/>
  <c r="H12" i="6"/>
  <c r="I5" i="6"/>
  <c r="I10" i="6"/>
  <c r="I6" i="6"/>
  <c r="F49" i="3"/>
  <c r="H49" i="3" s="1"/>
  <c r="F41" i="3"/>
  <c r="H41" i="3" s="1"/>
  <c r="F33" i="3"/>
  <c r="H33" i="3" s="1"/>
  <c r="F25" i="3"/>
  <c r="H25" i="3" s="1"/>
  <c r="H17" i="3"/>
  <c r="F209" i="3"/>
  <c r="H209" i="3" s="1"/>
  <c r="F178" i="3"/>
  <c r="H178" i="3" s="1"/>
  <c r="F198" i="3"/>
  <c r="H198" i="3" s="1"/>
  <c r="F158" i="3"/>
  <c r="H158" i="3" s="1"/>
  <c r="F195" i="3"/>
  <c r="H195" i="3" s="1"/>
  <c r="F157" i="3"/>
  <c r="H157" i="3" s="1"/>
  <c r="F212" i="3"/>
  <c r="H212" i="3" s="1"/>
  <c r="F172" i="3"/>
  <c r="H172" i="3" s="1"/>
  <c r="F206" i="3"/>
  <c r="H206" i="3" s="1"/>
  <c r="F165" i="3"/>
  <c r="H165" i="3" s="1"/>
  <c r="F203" i="3"/>
  <c r="H203" i="3" s="1"/>
  <c r="F166" i="3"/>
  <c r="H166" i="3" s="1"/>
  <c r="F190" i="3"/>
  <c r="H190" i="3" s="1"/>
  <c r="F213" i="3"/>
  <c r="H213" i="3" s="1"/>
  <c r="F142" i="3"/>
  <c r="H142" i="3" s="1"/>
  <c r="F147" i="3"/>
  <c r="H147" i="3" s="1"/>
  <c r="F188" i="3"/>
  <c r="H188" i="3" s="1"/>
  <c r="F204" i="3"/>
  <c r="H204" i="3" s="1"/>
  <c r="F179" i="3"/>
  <c r="H179" i="3" s="1"/>
  <c r="F211" i="3"/>
  <c r="H211" i="3" s="1"/>
  <c r="F218" i="3"/>
  <c r="H218" i="3" s="1"/>
  <c r="F177" i="3"/>
  <c r="H177" i="3" s="1"/>
  <c r="F174" i="3"/>
  <c r="H174" i="3" s="1"/>
  <c r="F182" i="3"/>
  <c r="H182" i="3" s="1"/>
  <c r="F189" i="3"/>
  <c r="H189" i="3" s="1"/>
  <c r="F154" i="3"/>
  <c r="H154" i="3" s="1"/>
  <c r="F214" i="3"/>
  <c r="H214" i="3" s="1"/>
  <c r="F205" i="3"/>
  <c r="H205" i="3" s="1"/>
  <c r="F196" i="3"/>
  <c r="H196" i="3" s="1"/>
  <c r="F75" i="3"/>
  <c r="H75" i="3" s="1"/>
  <c r="F48" i="3"/>
  <c r="H48" i="3" s="1"/>
  <c r="F40" i="3"/>
  <c r="H40" i="3" s="1"/>
  <c r="F32" i="3"/>
  <c r="H32" i="3" s="1"/>
  <c r="F24" i="3"/>
  <c r="H24" i="3" s="1"/>
  <c r="H8" i="3"/>
  <c r="F127" i="3"/>
  <c r="H127" i="3" s="1"/>
  <c r="F111" i="3"/>
  <c r="H111" i="3" s="1"/>
  <c r="F95" i="3"/>
  <c r="H95" i="3" s="1"/>
  <c r="F79" i="3"/>
  <c r="H79" i="3" s="1"/>
  <c r="F52" i="3"/>
  <c r="H52" i="3" s="1"/>
  <c r="F44" i="3"/>
  <c r="H44" i="3" s="1"/>
  <c r="F36" i="3"/>
  <c r="H36" i="3" s="1"/>
  <c r="F28" i="3"/>
  <c r="H28" i="3" s="1"/>
  <c r="F114" i="3"/>
  <c r="H114" i="3" s="1"/>
  <c r="F90" i="3"/>
  <c r="H90" i="3" s="1"/>
  <c r="F82" i="3"/>
  <c r="H82" i="3" s="1"/>
  <c r="F55" i="3"/>
  <c r="H55" i="3" s="1"/>
  <c r="F39" i="3"/>
  <c r="H39" i="3" s="1"/>
  <c r="F31" i="3"/>
  <c r="H31" i="3" s="1"/>
  <c r="H23" i="3"/>
  <c r="H15" i="3"/>
  <c r="H7" i="3"/>
  <c r="F106" i="3"/>
  <c r="H106" i="3" s="1"/>
  <c r="F47" i="3"/>
  <c r="H47" i="3" s="1"/>
  <c r="F129" i="3"/>
  <c r="H129" i="3" s="1"/>
  <c r="F121" i="3"/>
  <c r="H121" i="3" s="1"/>
  <c r="F113" i="3"/>
  <c r="H113" i="3" s="1"/>
  <c r="F105" i="3"/>
  <c r="H105" i="3" s="1"/>
  <c r="F97" i="3"/>
  <c r="H97" i="3" s="1"/>
  <c r="F89" i="3"/>
  <c r="H89" i="3" s="1"/>
  <c r="F81" i="3"/>
  <c r="H81" i="3" s="1"/>
  <c r="F73" i="3"/>
  <c r="H73" i="3" s="1"/>
  <c r="F54" i="3"/>
  <c r="H54" i="3" s="1"/>
  <c r="F38" i="3"/>
  <c r="H38" i="3" s="1"/>
  <c r="F30" i="3"/>
  <c r="H30" i="3" s="1"/>
  <c r="F22" i="3"/>
  <c r="H22" i="3" s="1"/>
  <c r="H14" i="3"/>
  <c r="H6" i="3"/>
  <c r="F122" i="3"/>
  <c r="H122" i="3" s="1"/>
  <c r="F98" i="3"/>
  <c r="H98" i="3" s="1"/>
  <c r="F74" i="3"/>
  <c r="H74" i="3" s="1"/>
  <c r="F128" i="3"/>
  <c r="H128" i="3" s="1"/>
  <c r="F120" i="3"/>
  <c r="H120" i="3" s="1"/>
  <c r="F112" i="3"/>
  <c r="H112" i="3" s="1"/>
  <c r="F104" i="3"/>
  <c r="H104" i="3" s="1"/>
  <c r="F96" i="3"/>
  <c r="H96" i="3" s="1"/>
  <c r="F88" i="3"/>
  <c r="H88" i="3" s="1"/>
  <c r="F80" i="3"/>
  <c r="H80" i="3" s="1"/>
  <c r="F72" i="3"/>
  <c r="H72" i="3" s="1"/>
  <c r="F53" i="3"/>
  <c r="H53" i="3" s="1"/>
  <c r="F37" i="3"/>
  <c r="H37" i="3" s="1"/>
  <c r="F29" i="3"/>
  <c r="H29" i="3" s="1"/>
  <c r="F21" i="3"/>
  <c r="H21" i="3" s="1"/>
  <c r="H13" i="3"/>
  <c r="H5" i="3"/>
  <c r="F20" i="3"/>
  <c r="H20" i="3" s="1"/>
  <c r="F126" i="3"/>
  <c r="H126" i="3" s="1"/>
  <c r="F118" i="3"/>
  <c r="H118" i="3" s="1"/>
  <c r="F110" i="3"/>
  <c r="H110" i="3" s="1"/>
  <c r="F102" i="3"/>
  <c r="H102" i="3" s="1"/>
  <c r="F94" i="3"/>
  <c r="H94" i="3" s="1"/>
  <c r="F86" i="3"/>
  <c r="F78" i="3"/>
  <c r="F70" i="3"/>
  <c r="H70" i="3" s="1"/>
  <c r="F51" i="3"/>
  <c r="F43" i="3"/>
  <c r="H43" i="3" s="1"/>
  <c r="F35" i="3"/>
  <c r="F27" i="3"/>
  <c r="F125" i="3"/>
  <c r="H125" i="3" s="1"/>
  <c r="F117" i="3"/>
  <c r="H117" i="3" s="1"/>
  <c r="F109" i="3"/>
  <c r="H109" i="3" s="1"/>
  <c r="F101" i="3"/>
  <c r="H101" i="3" s="1"/>
  <c r="F93" i="3"/>
  <c r="H93" i="3" s="1"/>
  <c r="F85" i="3"/>
  <c r="F77" i="3"/>
  <c r="F69" i="3"/>
  <c r="F50" i="3"/>
  <c r="F42" i="3"/>
  <c r="H42" i="3" s="1"/>
  <c r="F34" i="3"/>
  <c r="H34" i="3" s="1"/>
  <c r="F26" i="3"/>
  <c r="H18" i="3"/>
  <c r="H10" i="3"/>
  <c r="H9" i="3"/>
  <c r="I4" i="6"/>
  <c r="F123" i="3"/>
  <c r="H123" i="3" s="1"/>
  <c r="F115" i="3"/>
  <c r="H115" i="3" s="1"/>
  <c r="F107" i="3"/>
  <c r="H107" i="3" s="1"/>
  <c r="F99" i="3"/>
  <c r="H99" i="3" s="1"/>
  <c r="F83" i="3"/>
  <c r="H9" i="6"/>
  <c r="H5" i="6"/>
  <c r="I12" i="6"/>
  <c r="H10" i="6"/>
  <c r="F215" i="3"/>
  <c r="H215" i="3" s="1"/>
  <c r="F207" i="3"/>
  <c r="H207" i="3" s="1"/>
  <c r="F199" i="3"/>
  <c r="H199" i="3" s="1"/>
  <c r="F191" i="3"/>
  <c r="H191" i="3" s="1"/>
  <c r="F183" i="3"/>
  <c r="H183" i="3" s="1"/>
  <c r="F175" i="3"/>
  <c r="H175" i="3" s="1"/>
  <c r="F167" i="3"/>
  <c r="H167" i="3" s="1"/>
  <c r="F159" i="3"/>
  <c r="H159" i="3" s="1"/>
  <c r="F151" i="3"/>
  <c r="H151" i="3" s="1"/>
  <c r="F143" i="3"/>
  <c r="H143" i="3" s="1"/>
  <c r="F119" i="3"/>
  <c r="H119" i="3" s="1"/>
  <c r="F103" i="3"/>
  <c r="H103" i="3" s="1"/>
  <c r="F87" i="3"/>
  <c r="H87" i="3" s="1"/>
  <c r="F71" i="3"/>
  <c r="L76" i="3"/>
  <c r="L84" i="3"/>
  <c r="F4" i="3"/>
  <c r="H6" i="6"/>
  <c r="L41" i="3" l="1"/>
  <c r="L33" i="3"/>
  <c r="I18" i="6"/>
  <c r="L17" i="3"/>
  <c r="H18" i="6"/>
  <c r="L25" i="3"/>
  <c r="L49" i="3"/>
  <c r="L48" i="3"/>
  <c r="L54" i="3"/>
  <c r="L75" i="3"/>
  <c r="L24" i="3"/>
  <c r="L82" i="3"/>
  <c r="L40" i="3"/>
  <c r="L52" i="3"/>
  <c r="L7" i="3"/>
  <c r="L36" i="3"/>
  <c r="L32" i="3"/>
  <c r="L10" i="3"/>
  <c r="L44" i="3"/>
  <c r="L14" i="3"/>
  <c r="L29" i="3"/>
  <c r="L81" i="3"/>
  <c r="L28" i="3"/>
  <c r="L8" i="3"/>
  <c r="L6" i="3"/>
  <c r="L79" i="3"/>
  <c r="L88" i="3"/>
  <c r="L21" i="3"/>
  <c r="L53" i="3"/>
  <c r="L72" i="3"/>
  <c r="L20" i="3"/>
  <c r="L31" i="3"/>
  <c r="L80" i="3"/>
  <c r="L47" i="3"/>
  <c r="L22" i="3"/>
  <c r="L30" i="3"/>
  <c r="L38" i="3"/>
  <c r="L39" i="3"/>
  <c r="L9" i="3"/>
  <c r="L35" i="3"/>
  <c r="H35" i="3"/>
  <c r="L37" i="3"/>
  <c r="L12" i="3"/>
  <c r="H12" i="3"/>
  <c r="L26" i="3"/>
  <c r="H26" i="3"/>
  <c r="L4" i="3"/>
  <c r="H4" i="3"/>
  <c r="L23" i="3"/>
  <c r="L71" i="3"/>
  <c r="H71" i="3"/>
  <c r="L51" i="3"/>
  <c r="H51" i="3"/>
  <c r="L18" i="3"/>
  <c r="L15" i="3"/>
  <c r="L50" i="3"/>
  <c r="H50" i="3"/>
  <c r="L78" i="3"/>
  <c r="H78" i="3"/>
  <c r="L43" i="3"/>
  <c r="L16" i="3"/>
  <c r="H16" i="3"/>
  <c r="L69" i="3"/>
  <c r="H69" i="3"/>
  <c r="L11" i="3"/>
  <c r="H11" i="3"/>
  <c r="L86" i="3"/>
  <c r="H86" i="3"/>
  <c r="L74" i="3"/>
  <c r="L70" i="3"/>
  <c r="L5" i="3"/>
  <c r="L73" i="3"/>
  <c r="L77" i="3"/>
  <c r="H77" i="3"/>
  <c r="L34" i="3"/>
  <c r="L90" i="3"/>
  <c r="L42" i="3"/>
  <c r="L13" i="3"/>
  <c r="L55" i="3"/>
  <c r="L87" i="3"/>
  <c r="L83" i="3"/>
  <c r="H83" i="3"/>
  <c r="L85" i="3"/>
  <c r="H85" i="3"/>
  <c r="L27" i="3"/>
  <c r="H27" i="3"/>
  <c r="H224" i="3" l="1"/>
</calcChain>
</file>

<file path=xl/sharedStrings.xml><?xml version="1.0" encoding="utf-8"?>
<sst xmlns="http://schemas.openxmlformats.org/spreadsheetml/2006/main" count="1473" uniqueCount="341">
  <si>
    <t xml:space="preserve">مجموعة عمل الجرد مكونة  من </t>
  </si>
  <si>
    <t>الاسم</t>
  </si>
  <si>
    <t>Hany G</t>
  </si>
  <si>
    <t>Sony</t>
  </si>
  <si>
    <t>الكتب</t>
  </si>
  <si>
    <t>الرصيد الدفتري</t>
  </si>
  <si>
    <t>الجرد الفعلي  2025/2/15</t>
  </si>
  <si>
    <t>فرق المخزون</t>
  </si>
  <si>
    <t>ملاحظات</t>
  </si>
  <si>
    <t>النص الاساسى</t>
  </si>
  <si>
    <t>إنه يعمل - كيف ولماذا</t>
  </si>
  <si>
    <t>دليل العمل بالخطوات</t>
  </si>
  <si>
    <t>كتاب لليوم فقط</t>
  </si>
  <si>
    <t>الدليل التمهيدى</t>
  </si>
  <si>
    <t>روح تقاليدنا</t>
  </si>
  <si>
    <t>living clean</t>
  </si>
  <si>
    <t>النص الاساسى (جيب)</t>
  </si>
  <si>
    <t>إنة يعمل - كيف ولماذا (جيب)</t>
  </si>
  <si>
    <t>دليل العمل بالخطوات (جيب)</t>
  </si>
  <si>
    <t>كتاب لليوم فقط (جيب)</t>
  </si>
  <si>
    <t>النص الاساسى (تذكاري)</t>
  </si>
  <si>
    <t>أنة يعمل - كيف ولماذا (تذكاري)</t>
  </si>
  <si>
    <t>دليل عمل الخطوات (تذكاري)</t>
  </si>
  <si>
    <t>كتاب لليوم فقط (تذكاري)</t>
  </si>
  <si>
    <t>الكتيبات (IP)</t>
  </si>
  <si>
    <t>للعضو الجديد</t>
  </si>
  <si>
    <t>هل انا مدمن</t>
  </si>
  <si>
    <t>مرحبا بك فى زمالة م.م.</t>
  </si>
  <si>
    <t>لليوم فقط</t>
  </si>
  <si>
    <t>التوجية</t>
  </si>
  <si>
    <t>نظرة أخرى</t>
  </si>
  <si>
    <t>التعافى والانتكاس</t>
  </si>
  <si>
    <t>تقبل الذات</t>
  </si>
  <si>
    <t>مثلث الهاجس الذاتي</t>
  </si>
  <si>
    <t>مقدمة لاجتماعات زمالة م.م</t>
  </si>
  <si>
    <t>من - ماذا - كيف ولماذا</t>
  </si>
  <si>
    <t>تجربة مدمن مع التقبل والإيمان والالتزام</t>
  </si>
  <si>
    <t>البقاء ممتنعا في الخارج</t>
  </si>
  <si>
    <t>رسالة لمن هم بالمصحات</t>
  </si>
  <si>
    <t>التواصل الاجتماعى</t>
  </si>
  <si>
    <t>الخدم الموثوق بهم</t>
  </si>
  <si>
    <t>الامور المالية</t>
  </si>
  <si>
    <t>تمويل الخدمات</t>
  </si>
  <si>
    <t>السلوك المعيق</t>
  </si>
  <si>
    <t>المجموعة</t>
  </si>
  <si>
    <t>معايشة البرنامج</t>
  </si>
  <si>
    <t>المنعزل - البقاء ممتنعاً في الخارج</t>
  </si>
  <si>
    <t>من المدمنين الشباب إلى المدمنين الشباب</t>
  </si>
  <si>
    <t>للآباء أو أولياء أمور المدمنين الشباب</t>
  </si>
  <si>
    <t>امكانية الوصول لذوي الاحتيجات</t>
  </si>
  <si>
    <t>الشيبات Chips</t>
  </si>
  <si>
    <t>Welcome / White</t>
  </si>
  <si>
    <t>30 Days / Orange</t>
  </si>
  <si>
    <t>60 Days / Green</t>
  </si>
  <si>
    <t>90 Days / Red</t>
  </si>
  <si>
    <t>6 Months / Blue</t>
  </si>
  <si>
    <t>9 Months / Yellow</t>
  </si>
  <si>
    <t>1 Year / Moonglow</t>
  </si>
  <si>
    <t>18 Months / Grey</t>
  </si>
  <si>
    <t>Muiltple Years / Black</t>
  </si>
  <si>
    <t>English Books</t>
  </si>
  <si>
    <t xml:space="preserve">Basic Text - Reg Size </t>
  </si>
  <si>
    <t xml:space="preserve">Basic Text - Pocket Size </t>
  </si>
  <si>
    <t>Basic Text - Gift Edition</t>
  </si>
  <si>
    <t xml:space="preserve">JFT - Reg Size </t>
  </si>
  <si>
    <t xml:space="preserve">JFT - Pocket Size </t>
  </si>
  <si>
    <t>JFT - Gift Edition</t>
  </si>
  <si>
    <t xml:space="preserve">How &amp; Why - Reg Size </t>
  </si>
  <si>
    <t xml:space="preserve">How &amp; Why  - Pocket Size </t>
  </si>
  <si>
    <t>Sponsorship</t>
  </si>
  <si>
    <t>Sponsorship - Gift Edition</t>
  </si>
  <si>
    <t>Step Working Guide</t>
  </si>
  <si>
    <t>Introductory Guide to NA</t>
  </si>
  <si>
    <t>Living Clean</t>
  </si>
  <si>
    <t>Guiding Principle</t>
  </si>
  <si>
    <t>Spiritual Principle A Day</t>
  </si>
  <si>
    <t>Miracle Happens Hard</t>
  </si>
  <si>
    <t>Commemorative Living Clean</t>
  </si>
  <si>
    <t>Guiding Principles Special Edition</t>
  </si>
  <si>
    <t>SPAD Special Edition</t>
  </si>
  <si>
    <t>JFT Journal</t>
  </si>
  <si>
    <t>The Basic Library</t>
  </si>
  <si>
    <t>English IP (s)</t>
  </si>
  <si>
    <t>For the Newcomer</t>
  </si>
  <si>
    <t>Welcome to NA</t>
  </si>
  <si>
    <t>A resource in your community</t>
  </si>
  <si>
    <t>Accessibility for Those with Additional Needs</t>
  </si>
  <si>
    <t>Am I an Addict ?</t>
  </si>
  <si>
    <t>Another Look</t>
  </si>
  <si>
    <t>Behind the Walls</t>
  </si>
  <si>
    <t>By Young Addicts for Young Addicts</t>
  </si>
  <si>
    <t>Disruptive &amp; Violent</t>
  </si>
  <si>
    <t>For the Parents or Guardians of Young People in NA</t>
  </si>
  <si>
    <t>For Those in Treatment</t>
  </si>
  <si>
    <t>Funding NA Services</t>
  </si>
  <si>
    <t>Group Business</t>
  </si>
  <si>
    <t>Hospitals and Institutions Service and the NA member</t>
  </si>
  <si>
    <t>In Time of Illness</t>
  </si>
  <si>
    <t>Introduction to NA Meetings</t>
  </si>
  <si>
    <t>Just For Today (IP)</t>
  </si>
  <si>
    <t>Living the program</t>
  </si>
  <si>
    <t xml:space="preserve">Money Matters Self-Support in NA
</t>
  </si>
  <si>
    <t>NA Groups &amp; Medication</t>
  </si>
  <si>
    <t>One Addict’s Experience with Acceptance, Faith, and Commitment</t>
  </si>
  <si>
    <t>PI and  the NA Member</t>
  </si>
  <si>
    <t>Principles &amp; Leadership in Na Service</t>
  </si>
  <si>
    <t>Recovery &amp; Relapse</t>
  </si>
  <si>
    <t>Self-Acceptance</t>
  </si>
  <si>
    <t>Social Media &amp; Our Guiding Principles</t>
  </si>
  <si>
    <t>Staying Clean on the Outside</t>
  </si>
  <si>
    <t>The group</t>
  </si>
  <si>
    <t>The group booklet</t>
  </si>
  <si>
    <t>Twelve Concepts for Na Service</t>
  </si>
  <si>
    <t>The Loner - Staying Clean in Isolation</t>
  </si>
  <si>
    <t>The Triangle of Self-Obsession</t>
  </si>
  <si>
    <t>Treasurer's Hanbook</t>
  </si>
  <si>
    <t>White Booklet</t>
  </si>
  <si>
    <t>Who, what,How &amp; Why</t>
  </si>
  <si>
    <t>Working Step Four in NA</t>
  </si>
  <si>
    <t>mental health in recovery</t>
  </si>
  <si>
    <t>Readings القراءات</t>
  </si>
  <si>
    <t>مجموعة قراءات (عربي)</t>
  </si>
  <si>
    <t>one at printing house</t>
  </si>
  <si>
    <t>مجموعة قراءات (انجليزي)</t>
  </si>
  <si>
    <t>Medals &amp; Coins</t>
  </si>
  <si>
    <t>كوين سنة برونز</t>
  </si>
  <si>
    <t>كوين سنة ونصف برونز</t>
  </si>
  <si>
    <t>كوين سنتان برونز</t>
  </si>
  <si>
    <t>كوين 3 سنين برونز</t>
  </si>
  <si>
    <t>كوين 4 سنوات برونز</t>
  </si>
  <si>
    <t>كوين 5 سنوات برونز</t>
  </si>
  <si>
    <t>كوين 6 سنوات برونز</t>
  </si>
  <si>
    <t>كوين 7 سنوات برونز</t>
  </si>
  <si>
    <t>كوين 8 سنوات برونز</t>
  </si>
  <si>
    <t>كوين 9 سنوات برونز</t>
  </si>
  <si>
    <t>كوين 10 سنوات برونز</t>
  </si>
  <si>
    <t>كوين 11 سنة برونز</t>
  </si>
  <si>
    <t>كوين 12 سنة برونز</t>
  </si>
  <si>
    <t>كوين 13 سنة برونز</t>
  </si>
  <si>
    <t>كوين 14 سنة برونز</t>
  </si>
  <si>
    <t>كوين 15 سنة برونز</t>
  </si>
  <si>
    <t>كوين 16 سنة برونز</t>
  </si>
  <si>
    <t>كوين 17 سنة برونز</t>
  </si>
  <si>
    <t>كوين 18 سنة برونز</t>
  </si>
  <si>
    <t>كوين 19 سنة برونز</t>
  </si>
  <si>
    <t>كوين 20 سنة برونز</t>
  </si>
  <si>
    <t>كوين 21 سنة برونز</t>
  </si>
  <si>
    <t>كوين 22 سنة برونز</t>
  </si>
  <si>
    <t>كوين 23 سنة برونز</t>
  </si>
  <si>
    <t>كوين 24 سنة برونز</t>
  </si>
  <si>
    <t>كوين 25 سنة برونز</t>
  </si>
  <si>
    <t>كوين 26 سنة برونز</t>
  </si>
  <si>
    <t>كوين 27 سنة برونز</t>
  </si>
  <si>
    <t>كوين 28 سنة برونز</t>
  </si>
  <si>
    <t>كوين 29 سنة برونز</t>
  </si>
  <si>
    <t>كوين 30 سنة برونز</t>
  </si>
  <si>
    <t>كوين 31 سنة برونز</t>
  </si>
  <si>
    <t>كوين 32 سنة برونز</t>
  </si>
  <si>
    <t>كوين سنة ليزر</t>
  </si>
  <si>
    <t>كوين سنة ونصف ليزر</t>
  </si>
  <si>
    <t>كوين سنتان ليزر</t>
  </si>
  <si>
    <t>كوين 3 سنوات ليزر</t>
  </si>
  <si>
    <t>كوين 4 سنوات ليزر</t>
  </si>
  <si>
    <t>كوين 5 سنوات ليزر</t>
  </si>
  <si>
    <t>كوين 6 سنوات ليزر</t>
  </si>
  <si>
    <t>كوين 7 سنوات ليزر</t>
  </si>
  <si>
    <t>كوين 8 سنوات ليزر</t>
  </si>
  <si>
    <t>كوين 9 سنوات ليزر</t>
  </si>
  <si>
    <t>كوين 10 سنوات ليزر</t>
  </si>
  <si>
    <t>كوين 11 سنة ليزر</t>
  </si>
  <si>
    <t>كوين 12 سنة ليزر</t>
  </si>
  <si>
    <t>كوين 13 سنة ليزر</t>
  </si>
  <si>
    <t>كوين 14 سنة ليزر</t>
  </si>
  <si>
    <t>كوين 15 سنة ليزر</t>
  </si>
  <si>
    <t>كوين 16 سنة ليزر</t>
  </si>
  <si>
    <t>كوين 17 سنة ليزر</t>
  </si>
  <si>
    <t>كوين 18 سنة ليزر</t>
  </si>
  <si>
    <t>كوين 19 سنة ليزر</t>
  </si>
  <si>
    <t>كوين 20 سنة ليزر</t>
  </si>
  <si>
    <t>كوين سنة ألوان</t>
  </si>
  <si>
    <t>كوين سنة ونصف ألوان</t>
  </si>
  <si>
    <t>كوين سنتان ألوان</t>
  </si>
  <si>
    <t>كوين 3 سنوات ألوان</t>
  </si>
  <si>
    <t>كوين 4 سنوات ألوان</t>
  </si>
  <si>
    <t>كوين 5 سنوات ألوان</t>
  </si>
  <si>
    <t>كوين 6 سنوات ألوان</t>
  </si>
  <si>
    <t>كوين 7 سنوات ألوان</t>
  </si>
  <si>
    <t>كوين 8 سنوات ألوان</t>
  </si>
  <si>
    <t>كوين 9 سنوات ألوان</t>
  </si>
  <si>
    <t>كوين 10 سنوات ألوان</t>
  </si>
  <si>
    <t>كوين 11 سنوات ألوان</t>
  </si>
  <si>
    <t>كوين 12 سنة ألوان</t>
  </si>
  <si>
    <t>كوين 13 سنة ألوان</t>
  </si>
  <si>
    <t>كوين 14 سنة ألوان</t>
  </si>
  <si>
    <t>كوين 15 سنة ألوان</t>
  </si>
  <si>
    <t>كوين 16 سنة ألوان</t>
  </si>
  <si>
    <t>كوين 17 سنة ألوان</t>
  </si>
  <si>
    <t>كوين 18 سنة ألوان</t>
  </si>
  <si>
    <t>كوين 19 سنة ألوان</t>
  </si>
  <si>
    <t>كوين 20 سنة ألوان</t>
  </si>
  <si>
    <t>كوين انفينيتي</t>
  </si>
  <si>
    <t>ماديلية</t>
  </si>
  <si>
    <t>ميداية مجمعة موجه</t>
  </si>
  <si>
    <t>المنصب الخدمي</t>
  </si>
  <si>
    <t xml:space="preserve">وليد </t>
  </si>
  <si>
    <t>امين صندوق الإقليم</t>
  </si>
  <si>
    <t xml:space="preserve">كريم </t>
  </si>
  <si>
    <t>رئيس لجنة الادبيات</t>
  </si>
  <si>
    <t>رامي</t>
  </si>
  <si>
    <t>شمال شرق RCM</t>
  </si>
  <si>
    <t xml:space="preserve">سوني </t>
  </si>
  <si>
    <t>امين مخزن</t>
  </si>
  <si>
    <t>الجرد الفعلي   2025/8/13</t>
  </si>
  <si>
    <t>النص الاساسى </t>
  </si>
  <si>
    <t>العدد مظبو ط تم تعديل الاعداد حسب نوع الكتباب</t>
  </si>
  <si>
    <t xml:space="preserve">فرق  جرد ١٥ فبراير ٢٠٢٥ ليس عليه حركة و تم تعديل العدد </t>
  </si>
  <si>
    <t>المنعزل - البقاء ممتنعاً</t>
  </si>
  <si>
    <t>Basic Text - Reg Size </t>
  </si>
  <si>
    <t>Basic Text - Pocket Size </t>
  </si>
  <si>
    <t>JFT - Reg Size </t>
  </si>
  <si>
    <t>JFT - Pocket Size </t>
  </si>
  <si>
    <t>How &amp; Why - Reg Size </t>
  </si>
  <si>
    <t>How &amp; Why  - Pocket Size </t>
  </si>
  <si>
    <t>كتاب موجود في لجنة الادبيات تم التعديل من لجنة الادبيات باستلامه بتاريخ ٢٥ أغسطس ٢٠٢٥</t>
  </si>
  <si>
    <t>سوف يتم مراجعة الاستلامات</t>
  </si>
  <si>
    <t>Money Matters Self-Support in NA</t>
  </si>
  <si>
    <t>PI and  the NA Member</t>
  </si>
  <si>
    <t xml:space="preserve">عدد كوين برونز قبل الجرد ٣٥٠ بعد الجرد  ٣٥٢ سوف يتم إعادة جرد الكوينز </t>
  </si>
  <si>
    <t>ميدالية</t>
  </si>
  <si>
    <t>ميدالية مجمعة موجه</t>
  </si>
  <si>
    <t>إجمالي الصادر</t>
  </si>
  <si>
    <t>إجمالي الوارد</t>
  </si>
  <si>
    <t>الرصيد الحالي</t>
  </si>
  <si>
    <t>متوسط الإستهلاك الشهري</t>
  </si>
  <si>
    <t>الاستهلاك السنوي للأدبيات الإنجليزية</t>
  </si>
  <si>
    <t>كمية تكفي 4 شهور</t>
  </si>
  <si>
    <t>الفرق عن الحد الأدني</t>
  </si>
  <si>
    <t xml:space="preserve">النص الاساسى </t>
  </si>
  <si>
    <t xml:space="preserve">يوجد كتاب في لجنة الادبيات زيادة وتم التعديل </t>
  </si>
  <si>
    <t xml:space="preserve">ميدالية  </t>
  </si>
  <si>
    <t>البند</t>
  </si>
  <si>
    <t>lit comt</t>
  </si>
  <si>
    <t>التاريخ</t>
  </si>
  <si>
    <t>code</t>
  </si>
  <si>
    <t>book in english</t>
  </si>
  <si>
    <t>IP in english</t>
  </si>
  <si>
    <t>كوين</t>
  </si>
  <si>
    <t>living clean arabic</t>
  </si>
  <si>
    <t>IP</t>
  </si>
  <si>
    <t>Mental Health in Recovery</t>
  </si>
  <si>
    <t>orders Febauary March April 2024</t>
  </si>
  <si>
    <t>from WSO USA to Egypt</t>
  </si>
  <si>
    <t>Order 1</t>
  </si>
  <si>
    <t>description</t>
  </si>
  <si>
    <t>order pack</t>
  </si>
  <si>
    <t>from</t>
  </si>
  <si>
    <t>Received after Egyptian tax</t>
  </si>
  <si>
    <t>price/us$</t>
  </si>
  <si>
    <t>price after discount/us$</t>
  </si>
  <si>
    <t>Owing balance for WSO/US$</t>
  </si>
  <si>
    <t>Differnce not received</t>
  </si>
  <si>
    <t>Received at Sofia 2024</t>
  </si>
  <si>
    <t>البيان</t>
  </si>
  <si>
    <t>الطلبية/من مكتب الخدمة العالمي</t>
  </si>
  <si>
    <t>من</t>
  </si>
  <si>
    <t>المستلم بعد الجمرك</t>
  </si>
  <si>
    <t>السعر/دولار امريكي</t>
  </si>
  <si>
    <t>نسبة الخصم ٥٠٪</t>
  </si>
  <si>
    <t>سوف يتم دفعه الي مكتب الخدمة العالمي</t>
  </si>
  <si>
    <t>فرق المرسل/المستلم</t>
  </si>
  <si>
    <t>order to be delivered at sofia</t>
  </si>
  <si>
    <t>Code</t>
  </si>
  <si>
    <t>Descraption</t>
  </si>
  <si>
    <t>order</t>
  </si>
  <si>
    <t>WSO</t>
  </si>
  <si>
    <t>sponsorship medallion &amp; keychain</t>
  </si>
  <si>
    <t>wso</t>
  </si>
  <si>
    <t>literature rack (wire 16 pocket)</t>
  </si>
  <si>
    <t>1 year triplate ( purple/dark blue/black</t>
  </si>
  <si>
    <t>4 years triplate</t>
  </si>
  <si>
    <t>10 years triplate</t>
  </si>
  <si>
    <t>etirnity triplate medallion</t>
  </si>
  <si>
    <t>GOLD</t>
  </si>
  <si>
    <t>Multiple Years / Black</t>
  </si>
  <si>
    <t xml:space="preserve">SET OF ENGLISH READING </t>
  </si>
  <si>
    <t>keychain for etched medallion silver</t>
  </si>
  <si>
    <t>It Works: How and Why (Hard Cover)</t>
  </si>
  <si>
    <t>keychain for bronze- black</t>
  </si>
  <si>
    <t>keychain for bronze- satin gold</t>
  </si>
  <si>
    <t>Large-Print It Works: How and Why</t>
  </si>
  <si>
    <t>keychain for bronze - bronze</t>
  </si>
  <si>
    <t xml:space="preserve">An Introductory Guide to NA </t>
  </si>
  <si>
    <t xml:space="preserve">Total </t>
  </si>
  <si>
    <t>Order may June July 2024</t>
  </si>
  <si>
    <t>Orderv 2</t>
  </si>
  <si>
    <t>descraption</t>
  </si>
  <si>
    <t>order QTY</t>
  </si>
  <si>
    <t>Received after Egypatain tax</t>
  </si>
  <si>
    <t>chip</t>
  </si>
  <si>
    <t>book</t>
  </si>
  <si>
    <t xml:space="preserve">arabic reading </t>
  </si>
  <si>
    <t>Total</t>
  </si>
  <si>
    <t>NA the Survival Kit</t>
  </si>
  <si>
    <t>كوين 33 سنة برونز</t>
  </si>
  <si>
    <t>كوين 34 سنة برونز</t>
  </si>
  <si>
    <t>كوين 35 سنة برونز</t>
  </si>
  <si>
    <t>كوين 36 سنة برونز</t>
  </si>
  <si>
    <t>كوين 37 سنة برونز</t>
  </si>
  <si>
    <t>كوين 38 سنة برونز</t>
  </si>
  <si>
    <t>كوين 39 سنة برونز</t>
  </si>
  <si>
    <t>كوين 40 سنة برونز</t>
  </si>
  <si>
    <t>كوين برونز انفينيتي</t>
  </si>
  <si>
    <t xml:space="preserve">سعر البيع </t>
  </si>
  <si>
    <t>مجموع المخزون / جنيه مصري</t>
  </si>
  <si>
    <t xml:space="preserve"> Name tag Welcome / White</t>
  </si>
  <si>
    <t>Name tag 30 Days / Orange</t>
  </si>
  <si>
    <t>Name tag 60 Days / Green</t>
  </si>
  <si>
    <t>Name tag 90 Days / Red</t>
  </si>
  <si>
    <t>Name tag 6 Months / Blue</t>
  </si>
  <si>
    <t xml:space="preserve"> Name tag 9 Months / Yellow</t>
  </si>
  <si>
    <t>Name tag 1 Year / Moonglow</t>
  </si>
  <si>
    <t>Name tag 18 Months / Grey</t>
  </si>
  <si>
    <t>Name tag Muiltple Years / Black</t>
  </si>
  <si>
    <t xml:space="preserve">المجموع </t>
  </si>
  <si>
    <t xml:space="preserve">Name Key Tag to be sold at event </t>
  </si>
  <si>
    <t>karnaval upper egypt</t>
  </si>
  <si>
    <t>Lit comt</t>
  </si>
  <si>
    <t>there was 300 ip delivered at october to lit sub comt so I add them at november</t>
  </si>
  <si>
    <t>Lit Comt</t>
  </si>
  <si>
    <t>Count</t>
  </si>
  <si>
    <t>Remarks</t>
  </si>
  <si>
    <t>differnce</t>
  </si>
  <si>
    <t>there is wrong input when we received it 24/1/2026</t>
  </si>
  <si>
    <t>need to be trough as old printing</t>
  </si>
  <si>
    <t xml:space="preserve">input wrong Lit didn’t receive 300 written wrong at paper of receiving no this number </t>
  </si>
  <si>
    <t>need to burn as wrong</t>
  </si>
  <si>
    <t>printing</t>
  </si>
  <si>
    <t xml:space="preserve">wrong input at receiving sheet wso 21-11-2025 we didn’t order either recive them </t>
  </si>
  <si>
    <t>رصيد البداية 12 -6- 2026</t>
  </si>
  <si>
    <t>31-7/2026</t>
  </si>
  <si>
    <t>كوين انفينيتي ألوان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</si>
</sst>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2000401]0"/>
    <numFmt numFmtId="165" formatCode="[$-401]0"/>
    <numFmt numFmtId="166" formatCode="[$-401]#\٬##0"/>
    <numFmt numFmtId="167" formatCode="yyyy\-mm\-dd;@"/>
  </numFmts>
  <fonts count="47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6"/>
      <color rgb="FFFFFFFF"/>
      <name val="Calibri"/>
      <family val="2"/>
      <charset val="1"/>
    </font>
    <font>
      <sz val="16"/>
      <color rgb="FFFFFFFF"/>
      <name val="Calibri"/>
      <family val="2"/>
      <charset val="1"/>
    </font>
    <font>
      <sz val="11"/>
      <name val="Calibri"/>
      <family val="2"/>
      <charset val="1"/>
    </font>
    <font>
      <b/>
      <sz val="22"/>
      <color theme="1"/>
      <name val="Calibri"/>
      <family val="2"/>
      <charset val="1"/>
    </font>
    <font>
      <b/>
      <sz val="20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b/>
      <sz val="16"/>
      <name val="Arial"/>
      <family val="2"/>
      <charset val="1"/>
    </font>
    <font>
      <sz val="11"/>
      <color theme="0"/>
      <name val="Calibri"/>
      <family val="2"/>
      <charset val="1"/>
    </font>
    <font>
      <b/>
      <sz val="20"/>
      <name val="Arial"/>
      <family val="2"/>
      <charset val="1"/>
    </font>
    <font>
      <b/>
      <sz val="16"/>
      <name val="Calibri"/>
      <family val="2"/>
      <charset val="1"/>
    </font>
    <font>
      <sz val="14"/>
      <name val="Calibri"/>
      <family val="2"/>
      <charset val="1"/>
    </font>
    <font>
      <b/>
      <sz val="14"/>
      <name val="Calibri"/>
      <family val="2"/>
      <charset val="1"/>
    </font>
    <font>
      <sz val="14"/>
      <color theme="1"/>
      <name val="Calibri"/>
      <family val="2"/>
      <charset val="1"/>
    </font>
    <font>
      <b/>
      <sz val="14"/>
      <color theme="0"/>
      <name val="Calibri"/>
      <family val="2"/>
      <charset val="1"/>
    </font>
    <font>
      <sz val="14"/>
      <name val="Arial"/>
      <family val="2"/>
      <charset val="1"/>
    </font>
    <font>
      <sz val="14"/>
      <color rgb="FF000000"/>
      <name val="Calibri"/>
      <family val="2"/>
      <charset val="1"/>
    </font>
    <font>
      <sz val="14"/>
      <color theme="8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20"/>
      <name val="Calibri"/>
      <family val="2"/>
      <charset val="1"/>
    </font>
    <font>
      <b/>
      <sz val="18"/>
      <name val="Calibri"/>
      <family val="2"/>
      <charset val="1"/>
    </font>
    <font>
      <b/>
      <sz val="12"/>
      <name val="Calibri"/>
      <family val="2"/>
      <charset val="1"/>
    </font>
    <font>
      <sz val="12"/>
      <name val="Calibri"/>
      <family val="2"/>
      <charset val="1"/>
    </font>
    <font>
      <sz val="16"/>
      <name val="Calibri"/>
      <family val="2"/>
      <charset val="1"/>
    </font>
    <font>
      <sz val="16"/>
      <name val="Arial"/>
      <family val="2"/>
      <charset val="1"/>
    </font>
    <font>
      <b/>
      <sz val="14"/>
      <color theme="1"/>
      <name val="Arial"/>
      <family val="2"/>
      <charset val="1"/>
    </font>
    <font>
      <sz val="14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theme="1"/>
      <name val="Arial"/>
      <family val="2"/>
      <charset val="1"/>
    </font>
    <font>
      <b/>
      <strike/>
      <sz val="14"/>
      <color theme="1"/>
      <name val="Arial"/>
      <family val="2"/>
      <charset val="1"/>
    </font>
    <font>
      <b/>
      <sz val="14"/>
      <color rgb="FF000000"/>
      <name val="Arial"/>
      <family val="2"/>
      <charset val="1"/>
    </font>
    <font>
      <sz val="14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6"/>
      <color theme="1"/>
      <name val="Calibri"/>
      <family val="2"/>
    </font>
    <font>
      <sz val="8"/>
      <name val="Calibri"/>
      <family val="2"/>
      <charset val="1"/>
    </font>
    <font>
      <b/>
      <sz val="18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2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b/>
      <sz val="14"/>
      <color rgb="FF000000"/>
      <name val="Calibri"/>
      <family val="2"/>
      <charset val="1"/>
    </font>
  </fonts>
  <fills count="52">
    <fill>
      <patternFill patternType="none"/>
    </fill>
    <fill>
      <patternFill patternType="gray125"/>
    </fill>
    <fill>
      <patternFill patternType="solid">
        <fgColor rgb="FF3FAF46"/>
        <bgColor rgb="FF069A2E"/>
      </patternFill>
    </fill>
    <fill>
      <patternFill patternType="solid">
        <fgColor rgb="FF069A2E"/>
        <bgColor rgb="FF008080"/>
      </patternFill>
    </fill>
    <fill>
      <patternFill patternType="solid">
        <fgColor rgb="FFFF0000"/>
        <bgColor rgb="FFC00000"/>
      </patternFill>
    </fill>
    <fill>
      <patternFill patternType="solid">
        <fgColor theme="5"/>
        <bgColor rgb="FFBF9000"/>
      </patternFill>
    </fill>
    <fill>
      <patternFill patternType="solid">
        <fgColor theme="4"/>
        <bgColor rgb="FF729FCF"/>
      </patternFill>
    </fill>
    <fill>
      <patternFill patternType="solid">
        <fgColor rgb="FF729FCF"/>
        <bgColor rgb="FF5B9BD5"/>
      </patternFill>
    </fill>
    <fill>
      <patternFill patternType="solid">
        <fgColor theme="0" tint="-0.14999847407452621"/>
        <bgColor rgb="FFBDD6EE"/>
      </patternFill>
    </fill>
    <fill>
      <patternFill patternType="solid">
        <fgColor rgb="FFFFFFFF"/>
        <bgColor rgb="FFFFFFCC"/>
      </patternFill>
    </fill>
    <fill>
      <patternFill patternType="solid">
        <fgColor rgb="FF00B0F0"/>
        <bgColor rgb="FF0070C0"/>
      </patternFill>
    </fill>
    <fill>
      <patternFill patternType="solid">
        <fgColor theme="9" tint="0.39988402966399123"/>
        <bgColor rgb="FFA8D08D"/>
      </patternFill>
    </fill>
    <fill>
      <patternFill patternType="solid">
        <fgColor theme="8" tint="0.39988402966399123"/>
        <bgColor rgb="FF729FCF"/>
      </patternFill>
    </fill>
    <fill>
      <patternFill patternType="solid">
        <fgColor rgb="FFC00000"/>
        <bgColor rgb="FFFF0000"/>
      </patternFill>
    </fill>
    <fill>
      <patternFill patternType="solid">
        <fgColor rgb="FFB4C6E7"/>
        <bgColor rgb="FF9DC3E6"/>
      </patternFill>
    </fill>
    <fill>
      <patternFill patternType="solid">
        <fgColor theme="9" tint="0.59987182226020086"/>
        <bgColor rgb="FFC5E0B3"/>
      </patternFill>
    </fill>
    <fill>
      <patternFill patternType="solid">
        <fgColor rgb="FFC5E0B3"/>
        <bgColor rgb="FFC5E0B4"/>
      </patternFill>
    </fill>
    <fill>
      <patternFill patternType="solid">
        <fgColor theme="5" tint="0.59987182226020086"/>
        <bgColor rgb="FFF7CAAC"/>
      </patternFill>
    </fill>
    <fill>
      <patternFill patternType="solid">
        <fgColor rgb="FFF7CAAC"/>
        <bgColor rgb="FFF8CBAD"/>
      </patternFill>
    </fill>
    <fill>
      <patternFill patternType="solid">
        <fgColor rgb="FFBDD6EE"/>
        <bgColor rgb="FFB4C6E7"/>
      </patternFill>
    </fill>
    <fill>
      <patternFill patternType="solid">
        <fgColor rgb="FFFFC000"/>
        <bgColor rgb="FFFFD965"/>
      </patternFill>
    </fill>
    <fill>
      <patternFill patternType="solid">
        <fgColor rgb="FF92D050"/>
        <bgColor rgb="FFA8D08D"/>
      </patternFill>
    </fill>
    <fill>
      <patternFill patternType="solid">
        <fgColor rgb="FF0070C0"/>
        <bgColor rgb="FF008080"/>
      </patternFill>
    </fill>
    <fill>
      <patternFill patternType="solid">
        <fgColor rgb="FFFFFF00"/>
        <bgColor rgb="FFFFD965"/>
      </patternFill>
    </fill>
    <fill>
      <patternFill patternType="solid">
        <fgColor rgb="FFFFFFCC"/>
        <bgColor rgb="FFFFFFFF"/>
      </patternFill>
    </fill>
    <fill>
      <patternFill patternType="solid">
        <fgColor rgb="FFBFBFBF"/>
        <bgColor rgb="FFB4C6E7"/>
      </patternFill>
    </fill>
    <fill>
      <patternFill patternType="solid">
        <fgColor rgb="FFFFE598"/>
        <bgColor rgb="FFFFD966"/>
      </patternFill>
    </fill>
    <fill>
      <patternFill patternType="solid">
        <fgColor rgb="FFA8D08D"/>
        <bgColor rgb="FFA9D18E"/>
      </patternFill>
    </fill>
    <fill>
      <patternFill patternType="solid">
        <fgColor theme="4" tint="0.39988402966399123"/>
        <bgColor rgb="FFB4C6E7"/>
      </patternFill>
    </fill>
    <fill>
      <patternFill patternType="solid">
        <fgColor theme="7" tint="0.39988402966399123"/>
        <bgColor rgb="FFFFD965"/>
      </patternFill>
    </fill>
    <fill>
      <patternFill patternType="solid">
        <fgColor rgb="FFFFD965"/>
        <bgColor rgb="FFFFD966"/>
      </patternFill>
    </fill>
    <fill>
      <patternFill patternType="solid">
        <fgColor theme="7" tint="-0.249977111117893"/>
        <bgColor rgb="FFED7D31"/>
      </patternFill>
    </fill>
    <fill>
      <patternFill patternType="solid">
        <fgColor theme="1" tint="0.49989318521683401"/>
        <bgColor rgb="FF808080"/>
      </patternFill>
    </fill>
    <fill>
      <patternFill patternType="solid">
        <fgColor theme="0" tint="-0.499984740745262"/>
        <bgColor rgb="FF7F7F7F"/>
      </patternFill>
    </fill>
    <fill>
      <patternFill patternType="solid">
        <fgColor rgb="FF00FF00"/>
        <bgColor rgb="FF00F900"/>
      </patternFill>
    </fill>
    <fill>
      <patternFill patternType="solid">
        <fgColor rgb="FF00F900"/>
        <bgColor rgb="FF00FF00"/>
      </patternFill>
    </fill>
    <fill>
      <patternFill patternType="solid">
        <fgColor theme="5"/>
        <bgColor rgb="FFFFFFCC"/>
      </patternFill>
    </fill>
    <fill>
      <patternFill patternType="solid">
        <fgColor rgb="FFFFFF00"/>
        <b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5B9BD5"/>
      </patternFill>
    </fill>
    <fill>
      <patternFill patternType="solid">
        <fgColor rgb="FF92D050"/>
        <bgColor rgb="FF5B9BD5"/>
      </patternFill>
    </fill>
    <fill>
      <patternFill patternType="solid">
        <fgColor rgb="FFFF0000"/>
        <bgColor rgb="FFFFFFCC"/>
      </patternFill>
    </fill>
    <fill>
      <patternFill patternType="solid">
        <fgColor rgb="FFFFFF00"/>
        <bgColor rgb="FFB4C6E7"/>
      </patternFill>
    </fill>
    <fill>
      <patternFill patternType="solid">
        <fgColor rgb="FF00B0F0"/>
        <bgColor rgb="FFA8D08D"/>
      </patternFill>
    </fill>
    <fill>
      <patternFill patternType="solid">
        <fgColor rgb="FF00B0F0"/>
        <bgColor rgb="FF729FCF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729FCF"/>
      </patternFill>
    </fill>
    <fill>
      <patternFill patternType="solid">
        <fgColor rgb="FFC00000"/>
        <bgColor rgb="FF729FCF"/>
      </patternFill>
    </fill>
    <fill>
      <patternFill patternType="solid">
        <fgColor rgb="FFFFFF00"/>
        <bgColor rgb="FFA8D08D"/>
      </patternFill>
    </fill>
  </fills>
  <borders count="3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8">
    <xf numFmtId="0" fontId="0" fillId="0" borderId="0"/>
    <xf numFmtId="0" fontId="1" fillId="2" borderId="0" applyProtection="0">
      <alignment horizontal="center" vertical="center"/>
    </xf>
    <xf numFmtId="0" fontId="2" fillId="2" borderId="0" applyBorder="0" applyProtection="0"/>
    <xf numFmtId="0" fontId="3" fillId="3" borderId="0" applyProtection="0"/>
    <xf numFmtId="0" fontId="4" fillId="4" borderId="0" applyBorder="0" applyProtection="0"/>
    <xf numFmtId="0" fontId="3" fillId="3" borderId="1" applyProtection="0"/>
    <xf numFmtId="0" fontId="12" fillId="5" borderId="0" applyBorder="0" applyProtection="0"/>
    <xf numFmtId="0" fontId="12" fillId="6" borderId="0" applyBorder="0" applyProtection="0"/>
  </cellStyleXfs>
  <cellXfs count="381">
    <xf numFmtId="0" fontId="0" fillId="0" borderId="0" xfId="0"/>
    <xf numFmtId="0" fontId="2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49" fontId="13" fillId="8" borderId="6" xfId="0" applyNumberFormat="1" applyFont="1" applyFill="1" applyBorder="1" applyAlignment="1">
      <alignment horizontal="center" vertical="center" wrapText="1" readingOrder="1"/>
    </xf>
    <xf numFmtId="0" fontId="14" fillId="8" borderId="6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readingOrder="2"/>
    </xf>
    <xf numFmtId="0" fontId="16" fillId="0" borderId="2" xfId="0" applyFont="1" applyBorder="1" applyAlignment="1">
      <alignment horizontal="center" vertical="center"/>
    </xf>
    <xf numFmtId="1" fontId="17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4" fontId="16" fillId="0" borderId="4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" fontId="20" fillId="0" borderId="2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8" fillId="0" borderId="2" xfId="0" applyFont="1" applyBorder="1" applyAlignment="1" applyProtection="1">
      <alignment horizontal="center" vertical="center"/>
      <protection locked="0"/>
    </xf>
    <xf numFmtId="1" fontId="16" fillId="0" borderId="2" xfId="0" applyNumberFormat="1" applyFont="1" applyBorder="1" applyAlignment="1">
      <alignment horizontal="center" vertical="center"/>
    </xf>
    <xf numFmtId="164" fontId="17" fillId="0" borderId="10" xfId="0" applyNumberFormat="1" applyFont="1" applyBorder="1" applyAlignment="1">
      <alignment horizontal="center" vertical="center"/>
    </xf>
    <xf numFmtId="0" fontId="8" fillId="0" borderId="11" xfId="0" applyFont="1" applyBorder="1" applyAlignment="1" applyProtection="1">
      <alignment horizontal="center" vertical="center"/>
      <protection locked="0"/>
    </xf>
    <xf numFmtId="0" fontId="16" fillId="0" borderId="11" xfId="0" applyFont="1" applyBorder="1" applyAlignment="1">
      <alignment horizontal="center" vertical="center"/>
    </xf>
    <xf numFmtId="1" fontId="16" fillId="0" borderId="11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/>
    <xf numFmtId="0" fontId="22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/>
    </xf>
    <xf numFmtId="164" fontId="22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 wrapText="1"/>
    </xf>
    <xf numFmtId="49" fontId="13" fillId="8" borderId="2" xfId="0" applyNumberFormat="1" applyFont="1" applyFill="1" applyBorder="1" applyAlignment="1">
      <alignment horizontal="center" vertical="center" wrapText="1" readingOrder="2"/>
    </xf>
    <xf numFmtId="0" fontId="23" fillId="8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3" fontId="22" fillId="0" borderId="2" xfId="0" applyNumberFormat="1" applyFont="1" applyBorder="1" applyAlignment="1">
      <alignment horizontal="center" vertical="center"/>
    </xf>
    <xf numFmtId="166" fontId="22" fillId="0" borderId="2" xfId="0" applyNumberFormat="1" applyFont="1" applyBorder="1" applyAlignment="1">
      <alignment horizontal="center" vertical="center"/>
    </xf>
    <xf numFmtId="166" fontId="22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7" fillId="9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/>
    </xf>
    <xf numFmtId="0" fontId="14" fillId="9" borderId="2" xfId="0" applyFont="1" applyFill="1" applyBorder="1" applyAlignment="1">
      <alignment horizontal="right"/>
    </xf>
    <xf numFmtId="0" fontId="5" fillId="9" borderId="2" xfId="0" applyFont="1" applyFill="1" applyBorder="1" applyAlignment="1">
      <alignment horizontal="center" vertical="center"/>
    </xf>
    <xf numFmtId="164" fontId="16" fillId="9" borderId="2" xfId="0" applyNumberFormat="1" applyFont="1" applyFill="1" applyBorder="1" applyAlignment="1">
      <alignment horizontal="center" vertical="center"/>
    </xf>
    <xf numFmtId="0" fontId="28" fillId="9" borderId="2" xfId="0" applyFont="1" applyFill="1" applyBorder="1" applyAlignment="1">
      <alignment horizontal="right"/>
    </xf>
    <xf numFmtId="0" fontId="14" fillId="9" borderId="2" xfId="0" applyFont="1" applyFill="1" applyBorder="1" applyAlignment="1">
      <alignment horizontal="center"/>
    </xf>
    <xf numFmtId="0" fontId="14" fillId="9" borderId="2" xfId="0" applyFont="1" applyFill="1" applyBorder="1" applyAlignment="1">
      <alignment horizontal="left"/>
    </xf>
    <xf numFmtId="0" fontId="15" fillId="14" borderId="2" xfId="0" applyFont="1" applyFill="1" applyBorder="1" applyAlignment="1">
      <alignment horizontal="right" readingOrder="2"/>
    </xf>
    <xf numFmtId="0" fontId="15" fillId="16" borderId="2" xfId="0" applyFont="1" applyFill="1" applyBorder="1" applyAlignment="1">
      <alignment horizontal="right" readingOrder="2"/>
    </xf>
    <xf numFmtId="0" fontId="15" fillId="18" borderId="2" xfId="0" applyFont="1" applyFill="1" applyBorder="1" applyAlignment="1">
      <alignment horizontal="right" readingOrder="2"/>
    </xf>
    <xf numFmtId="0" fontId="15" fillId="19" borderId="2" xfId="0" applyFont="1" applyFill="1" applyBorder="1" applyAlignment="1">
      <alignment horizontal="right"/>
    </xf>
    <xf numFmtId="0" fontId="15" fillId="0" borderId="2" xfId="0" applyFont="1" applyBorder="1" applyAlignment="1">
      <alignment horizontal="right"/>
    </xf>
    <xf numFmtId="0" fontId="15" fillId="20" borderId="2" xfId="0" applyFont="1" applyFill="1" applyBorder="1" applyAlignment="1">
      <alignment horizontal="right"/>
    </xf>
    <xf numFmtId="0" fontId="15" fillId="21" borderId="2" xfId="0" applyFont="1" applyFill="1" applyBorder="1" applyAlignment="1">
      <alignment horizontal="right"/>
    </xf>
    <xf numFmtId="0" fontId="15" fillId="4" borderId="2" xfId="0" applyFont="1" applyFill="1" applyBorder="1" applyAlignment="1">
      <alignment horizontal="right"/>
    </xf>
    <xf numFmtId="0" fontId="15" fillId="22" borderId="2" xfId="0" applyFont="1" applyFill="1" applyBorder="1" applyAlignment="1">
      <alignment horizontal="right"/>
    </xf>
    <xf numFmtId="0" fontId="15" fillId="23" borderId="2" xfId="0" applyFont="1" applyFill="1" applyBorder="1" applyAlignment="1">
      <alignment horizontal="right"/>
    </xf>
    <xf numFmtId="0" fontId="15" fillId="24" borderId="2" xfId="0" applyFont="1" applyFill="1" applyBorder="1" applyAlignment="1">
      <alignment horizontal="right"/>
    </xf>
    <xf numFmtId="0" fontId="15" fillId="25" borderId="2" xfId="0" applyFont="1" applyFill="1" applyBorder="1" applyAlignment="1">
      <alignment horizontal="right"/>
    </xf>
    <xf numFmtId="0" fontId="15" fillId="26" borderId="2" xfId="0" applyFont="1" applyFill="1" applyBorder="1" applyAlignment="1">
      <alignment horizontal="right"/>
    </xf>
    <xf numFmtId="0" fontId="15" fillId="27" borderId="2" xfId="0" applyFont="1" applyFill="1" applyBorder="1" applyAlignment="1">
      <alignment horizontal="right"/>
    </xf>
    <xf numFmtId="0" fontId="15" fillId="28" borderId="2" xfId="0" applyFont="1" applyFill="1" applyBorder="1" applyAlignment="1">
      <alignment horizontal="right"/>
    </xf>
    <xf numFmtId="0" fontId="15" fillId="29" borderId="2" xfId="0" applyFont="1" applyFill="1" applyBorder="1" applyAlignment="1">
      <alignment horizontal="right"/>
    </xf>
    <xf numFmtId="0" fontId="15" fillId="18" borderId="2" xfId="0" applyFont="1" applyFill="1" applyBorder="1" applyAlignment="1">
      <alignment horizontal="right"/>
    </xf>
    <xf numFmtId="0" fontId="15" fillId="14" borderId="2" xfId="0" applyFont="1" applyFill="1" applyBorder="1" applyAlignment="1">
      <alignment horizontal="right"/>
    </xf>
    <xf numFmtId="0" fontId="15" fillId="14" borderId="2" xfId="0" applyFont="1" applyFill="1" applyBorder="1" applyAlignment="1">
      <alignment horizontal="right" vertical="center"/>
    </xf>
    <xf numFmtId="0" fontId="15" fillId="14" borderId="2" xfId="0" applyFont="1" applyFill="1" applyBorder="1" applyAlignment="1">
      <alignment horizontal="right" vertical="center" wrapText="1"/>
    </xf>
    <xf numFmtId="0" fontId="15" fillId="30" borderId="2" xfId="0" applyFont="1" applyFill="1" applyBorder="1" applyAlignment="1">
      <alignment horizontal="right"/>
    </xf>
    <xf numFmtId="0" fontId="8" fillId="31" borderId="2" xfId="0" applyFont="1" applyFill="1" applyBorder="1" applyAlignment="1" applyProtection="1">
      <alignment horizontal="right"/>
      <protection locked="0"/>
    </xf>
    <xf numFmtId="0" fontId="8" fillId="33" borderId="2" xfId="0" applyFont="1" applyFill="1" applyBorder="1" applyAlignment="1" applyProtection="1">
      <alignment horizontal="right"/>
      <protection locked="0"/>
    </xf>
    <xf numFmtId="0" fontId="8" fillId="10" borderId="2" xfId="0" applyFont="1" applyFill="1" applyBorder="1" applyAlignment="1" applyProtection="1">
      <alignment horizontal="right"/>
      <protection locked="0"/>
    </xf>
    <xf numFmtId="0" fontId="8" fillId="22" borderId="2" xfId="0" applyFont="1" applyFill="1" applyBorder="1" applyAlignment="1" applyProtection="1">
      <alignment horizontal="right"/>
      <protection locked="0"/>
    </xf>
    <xf numFmtId="0" fontId="8" fillId="10" borderId="17" xfId="0" applyFont="1" applyFill="1" applyBorder="1" applyAlignment="1" applyProtection="1">
      <alignment horizontal="right"/>
      <protection locked="0"/>
    </xf>
    <xf numFmtId="0" fontId="29" fillId="34" borderId="6" xfId="0" applyFont="1" applyFill="1" applyBorder="1"/>
    <xf numFmtId="0" fontId="29" fillId="34" borderId="6" xfId="0" applyFont="1" applyFill="1" applyBorder="1" applyAlignment="1">
      <alignment horizontal="center"/>
    </xf>
    <xf numFmtId="0" fontId="30" fillId="34" borderId="7" xfId="0" applyFont="1" applyFill="1" applyBorder="1"/>
    <xf numFmtId="0" fontId="29" fillId="0" borderId="0" xfId="0" applyFont="1"/>
    <xf numFmtId="0" fontId="29" fillId="34" borderId="2" xfId="0" applyFont="1" applyFill="1" applyBorder="1"/>
    <xf numFmtId="0" fontId="29" fillId="34" borderId="2" xfId="0" applyFont="1" applyFill="1" applyBorder="1" applyAlignment="1">
      <alignment horizontal="center"/>
    </xf>
    <xf numFmtId="0" fontId="30" fillId="34" borderId="8" xfId="0" applyFont="1" applyFill="1" applyBorder="1"/>
    <xf numFmtId="0" fontId="31" fillId="0" borderId="4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2" xfId="0" applyFont="1" applyBorder="1"/>
    <xf numFmtId="0" fontId="32" fillId="0" borderId="8" xfId="0" applyFont="1" applyBorder="1"/>
    <xf numFmtId="0" fontId="29" fillId="0" borderId="0" xfId="0" applyFont="1" applyAlignment="1">
      <alignment horizontal="center"/>
    </xf>
    <xf numFmtId="0" fontId="31" fillId="20" borderId="2" xfId="0" applyFont="1" applyFill="1" applyBorder="1" applyAlignment="1">
      <alignment horizontal="center" vertical="center"/>
    </xf>
    <xf numFmtId="0" fontId="31" fillId="21" borderId="2" xfId="0" applyFont="1" applyFill="1" applyBorder="1" applyAlignment="1">
      <alignment horizontal="center" vertical="center"/>
    </xf>
    <xf numFmtId="0" fontId="31" fillId="4" borderId="2" xfId="0" applyFont="1" applyFill="1" applyBorder="1" applyAlignment="1">
      <alignment horizontal="center" vertical="center"/>
    </xf>
    <xf numFmtId="0" fontId="31" fillId="22" borderId="2" xfId="0" applyFont="1" applyFill="1" applyBorder="1" applyAlignment="1">
      <alignment horizontal="center" vertical="center"/>
    </xf>
    <xf numFmtId="0" fontId="31" fillId="23" borderId="2" xfId="0" applyFont="1" applyFill="1" applyBorder="1" applyAlignment="1">
      <alignment horizontal="center" vertical="center"/>
    </xf>
    <xf numFmtId="0" fontId="31" fillId="24" borderId="2" xfId="0" applyFont="1" applyFill="1" applyBorder="1" applyAlignment="1">
      <alignment horizontal="center" vertical="center"/>
    </xf>
    <xf numFmtId="0" fontId="31" fillId="25" borderId="2" xfId="0" applyFont="1" applyFill="1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31" fillId="0" borderId="2" xfId="0" applyFont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5" borderId="5" xfId="0" applyFill="1" applyBorder="1" applyAlignment="1">
      <alignment horizontal="center" vertical="center"/>
    </xf>
    <xf numFmtId="0" fontId="0" fillId="35" borderId="6" xfId="0" applyFill="1" applyBorder="1" applyAlignment="1">
      <alignment horizontal="center" vertical="center"/>
    </xf>
    <xf numFmtId="0" fontId="30" fillId="35" borderId="7" xfId="0" applyFont="1" applyFill="1" applyBorder="1"/>
    <xf numFmtId="0" fontId="34" fillId="34" borderId="2" xfId="0" applyFont="1" applyFill="1" applyBorder="1" applyAlignment="1">
      <alignment readingOrder="2"/>
    </xf>
    <xf numFmtId="0" fontId="34" fillId="34" borderId="2" xfId="0" applyFont="1" applyFill="1" applyBorder="1" applyAlignment="1">
      <alignment horizontal="center" readingOrder="2"/>
    </xf>
    <xf numFmtId="0" fontId="35" fillId="34" borderId="2" xfId="0" applyFont="1" applyFill="1" applyBorder="1" applyAlignment="1">
      <alignment readingOrder="2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8" fillId="0" borderId="2" xfId="0" applyFont="1" applyBorder="1" applyAlignment="1" applyProtection="1">
      <alignment horizontal="center"/>
      <protection locked="0"/>
    </xf>
    <xf numFmtId="0" fontId="16" fillId="9" borderId="2" xfId="0" applyFont="1" applyFill="1" applyBorder="1" applyAlignment="1">
      <alignment horizontal="center" vertical="center"/>
    </xf>
    <xf numFmtId="164" fontId="23" fillId="7" borderId="2" xfId="0" applyNumberFormat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4" fillId="37" borderId="2" xfId="0" applyFont="1" applyFill="1" applyBorder="1" applyAlignment="1">
      <alignment horizontal="center"/>
    </xf>
    <xf numFmtId="0" fontId="6" fillId="37" borderId="2" xfId="0" applyFont="1" applyFill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0" fontId="23" fillId="7" borderId="2" xfId="0" applyFont="1" applyFill="1" applyBorder="1" applyAlignment="1">
      <alignment horizontal="center" vertical="center" wrapText="1"/>
    </xf>
    <xf numFmtId="0" fontId="26" fillId="9" borderId="2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right" readingOrder="2"/>
    </xf>
    <xf numFmtId="0" fontId="14" fillId="9" borderId="2" xfId="0" applyFont="1" applyFill="1" applyBorder="1" applyAlignment="1">
      <alignment horizontal="left" vertical="center"/>
    </xf>
    <xf numFmtId="0" fontId="14" fillId="9" borderId="2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horizontal="left"/>
    </xf>
    <xf numFmtId="0" fontId="14" fillId="36" borderId="2" xfId="0" applyFont="1" applyFill="1" applyBorder="1" applyAlignment="1">
      <alignment horizontal="right" vertical="center"/>
    </xf>
    <xf numFmtId="0" fontId="1" fillId="9" borderId="2" xfId="0" applyFont="1" applyFill="1" applyBorder="1" applyAlignment="1">
      <alignment horizontal="center" vertical="center"/>
    </xf>
    <xf numFmtId="0" fontId="22" fillId="9" borderId="2" xfId="0" applyFont="1" applyFill="1" applyBorder="1" applyAlignment="1" applyProtection="1">
      <alignment horizontal="center"/>
      <protection locked="0"/>
    </xf>
    <xf numFmtId="0" fontId="23" fillId="39" borderId="2" xfId="0" applyFont="1" applyFill="1" applyBorder="1" applyAlignment="1">
      <alignment horizontal="center" vertical="center"/>
    </xf>
    <xf numFmtId="164" fontId="0" fillId="9" borderId="20" xfId="0" applyNumberFormat="1" applyFill="1" applyBorder="1" applyAlignment="1">
      <alignment horizontal="center"/>
    </xf>
    <xf numFmtId="0" fontId="22" fillId="9" borderId="20" xfId="0" applyFont="1" applyFill="1" applyBorder="1" applyAlignment="1" applyProtection="1">
      <alignment horizontal="center"/>
      <protection locked="0"/>
    </xf>
    <xf numFmtId="0" fontId="24" fillId="9" borderId="20" xfId="0" applyFont="1" applyFill="1" applyBorder="1" applyAlignment="1">
      <alignment horizontal="center" vertical="center" wrapText="1"/>
    </xf>
    <xf numFmtId="0" fontId="23" fillId="7" borderId="20" xfId="0" applyFont="1" applyFill="1" applyBorder="1" applyAlignment="1">
      <alignment horizontal="center" vertical="center"/>
    </xf>
    <xf numFmtId="164" fontId="23" fillId="7" borderId="20" xfId="0" applyNumberFormat="1" applyFont="1" applyFill="1" applyBorder="1" applyAlignment="1">
      <alignment horizontal="center" vertical="center"/>
    </xf>
    <xf numFmtId="0" fontId="23" fillId="39" borderId="23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39" borderId="2" xfId="0" applyFont="1" applyFill="1" applyBorder="1" applyAlignment="1">
      <alignment horizontal="center" vertical="center" wrapText="1"/>
    </xf>
    <xf numFmtId="0" fontId="23" fillId="39" borderId="20" xfId="0" applyFont="1" applyFill="1" applyBorder="1" applyAlignment="1">
      <alignment horizontal="center" vertical="center"/>
    </xf>
    <xf numFmtId="164" fontId="23" fillId="40" borderId="2" xfId="0" applyNumberFormat="1" applyFont="1" applyFill="1" applyBorder="1" applyAlignment="1">
      <alignment horizontal="center" vertical="center"/>
    </xf>
    <xf numFmtId="0" fontId="23" fillId="40" borderId="2" xfId="0" applyFont="1" applyFill="1" applyBorder="1" applyAlignment="1">
      <alignment horizontal="center" vertical="center"/>
    </xf>
    <xf numFmtId="0" fontId="14" fillId="41" borderId="2" xfId="0" applyFont="1" applyFill="1" applyBorder="1" applyAlignment="1">
      <alignment horizontal="right" readingOrder="2"/>
    </xf>
    <xf numFmtId="0" fontId="14" fillId="0" borderId="2" xfId="0" applyFont="1" applyBorder="1" applyAlignment="1">
      <alignment horizontal="right" readingOrder="2"/>
    </xf>
    <xf numFmtId="0" fontId="15" fillId="42" borderId="2" xfId="0" applyFont="1" applyFill="1" applyBorder="1" applyAlignment="1">
      <alignment horizontal="right"/>
    </xf>
    <xf numFmtId="0" fontId="39" fillId="11" borderId="2" xfId="7" applyFont="1" applyFill="1" applyBorder="1" applyAlignment="1" applyProtection="1">
      <alignment horizontal="center" vertical="center" wrapText="1" readingOrder="2"/>
    </xf>
    <xf numFmtId="0" fontId="39" fillId="12" borderId="2" xfId="7" applyFont="1" applyFill="1" applyBorder="1" applyAlignment="1" applyProtection="1">
      <alignment horizontal="center" vertical="center" wrapText="1" readingOrder="2"/>
    </xf>
    <xf numFmtId="167" fontId="39" fillId="12" borderId="2" xfId="7" applyNumberFormat="1" applyFont="1" applyFill="1" applyBorder="1" applyAlignment="1" applyProtection="1">
      <alignment horizontal="center" vertical="center" wrapText="1" readingOrder="2"/>
    </xf>
    <xf numFmtId="0" fontId="40" fillId="0" borderId="0" xfId="0" applyFont="1" applyAlignment="1">
      <alignment horizontal="center" wrapText="1"/>
    </xf>
    <xf numFmtId="167" fontId="39" fillId="11" borderId="2" xfId="7" applyNumberFormat="1" applyFont="1" applyFill="1" applyBorder="1" applyAlignment="1" applyProtection="1">
      <alignment horizontal="center" vertical="center" wrapText="1" readingOrder="2"/>
    </xf>
    <xf numFmtId="167" fontId="40" fillId="0" borderId="0" xfId="0" applyNumberFormat="1" applyFont="1" applyAlignment="1">
      <alignment horizontal="center"/>
    </xf>
    <xf numFmtId="0" fontId="39" fillId="5" borderId="2" xfId="6" applyFont="1" applyBorder="1" applyAlignment="1" applyProtection="1">
      <alignment horizontal="center" vertical="center"/>
    </xf>
    <xf numFmtId="0" fontId="39" fillId="5" borderId="2" xfId="6" applyFont="1" applyBorder="1" applyAlignment="1" applyProtection="1">
      <alignment horizontal="right" vertical="center"/>
    </xf>
    <xf numFmtId="0" fontId="37" fillId="11" borderId="2" xfId="0" applyFont="1" applyFill="1" applyBorder="1" applyAlignment="1">
      <alignment horizontal="center" vertical="center"/>
    </xf>
    <xf numFmtId="164" fontId="37" fillId="12" borderId="2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41" fillId="14" borderId="2" xfId="0" applyFont="1" applyFill="1" applyBorder="1" applyAlignment="1">
      <alignment horizontal="center" vertical="center"/>
    </xf>
    <xf numFmtId="0" fontId="41" fillId="14" borderId="2" xfId="0" applyFont="1" applyFill="1" applyBorder="1" applyAlignment="1">
      <alignment horizontal="right" vertical="center"/>
    </xf>
    <xf numFmtId="0" fontId="42" fillId="14" borderId="2" xfId="0" applyFont="1" applyFill="1" applyBorder="1" applyAlignment="1">
      <alignment horizontal="right" readingOrder="2"/>
    </xf>
    <xf numFmtId="0" fontId="37" fillId="11" borderId="2" xfId="7" applyFont="1" applyFill="1" applyBorder="1" applyAlignment="1" applyProtection="1">
      <alignment horizontal="center" vertical="center" wrapText="1" readingOrder="2"/>
    </xf>
    <xf numFmtId="164" fontId="37" fillId="12" borderId="2" xfId="7" applyNumberFormat="1" applyFont="1" applyFill="1" applyBorder="1" applyAlignment="1" applyProtection="1">
      <alignment horizontal="center" vertical="center" wrapText="1" readingOrder="2"/>
    </xf>
    <xf numFmtId="0" fontId="37" fillId="12" borderId="2" xfId="7" applyFont="1" applyFill="1" applyBorder="1" applyAlignment="1" applyProtection="1">
      <alignment horizontal="center" vertical="center" wrapText="1" readingOrder="2"/>
    </xf>
    <xf numFmtId="0" fontId="37" fillId="13" borderId="2" xfId="0" applyFont="1" applyFill="1" applyBorder="1" applyAlignment="1">
      <alignment horizontal="center" vertical="center"/>
    </xf>
    <xf numFmtId="0" fontId="37" fillId="12" borderId="2" xfId="0" applyFont="1" applyFill="1" applyBorder="1" applyAlignment="1">
      <alignment horizontal="center" vertical="center"/>
    </xf>
    <xf numFmtId="0" fontId="41" fillId="15" borderId="2" xfId="0" applyFont="1" applyFill="1" applyBorder="1" applyAlignment="1">
      <alignment horizontal="center" vertical="center"/>
    </xf>
    <xf numFmtId="0" fontId="41" fillId="15" borderId="2" xfId="0" applyFont="1" applyFill="1" applyBorder="1" applyAlignment="1">
      <alignment horizontal="right" vertical="center"/>
    </xf>
    <xf numFmtId="0" fontId="42" fillId="16" borderId="2" xfId="0" applyFont="1" applyFill="1" applyBorder="1" applyAlignment="1">
      <alignment horizontal="right" readingOrder="2"/>
    </xf>
    <xf numFmtId="0" fontId="41" fillId="17" borderId="2" xfId="0" applyFont="1" applyFill="1" applyBorder="1" applyAlignment="1">
      <alignment horizontal="center" vertical="center"/>
    </xf>
    <xf numFmtId="0" fontId="41" fillId="17" borderId="2" xfId="0" applyFont="1" applyFill="1" applyBorder="1" applyAlignment="1">
      <alignment horizontal="right" vertical="center"/>
    </xf>
    <xf numFmtId="0" fontId="42" fillId="18" borderId="2" xfId="0" applyFont="1" applyFill="1" applyBorder="1" applyAlignment="1">
      <alignment horizontal="right" readingOrder="2"/>
    </xf>
    <xf numFmtId="0" fontId="40" fillId="19" borderId="2" xfId="0" applyFont="1" applyFill="1" applyBorder="1" applyAlignment="1">
      <alignment horizontal="center" vertical="center"/>
    </xf>
    <xf numFmtId="0" fontId="40" fillId="19" borderId="2" xfId="0" applyFont="1" applyFill="1" applyBorder="1" applyAlignment="1">
      <alignment horizontal="right" vertical="center"/>
    </xf>
    <xf numFmtId="0" fontId="42" fillId="19" borderId="2" xfId="0" applyFont="1" applyFill="1" applyBorder="1" applyAlignment="1">
      <alignment horizontal="right"/>
    </xf>
    <xf numFmtId="164" fontId="37" fillId="11" borderId="2" xfId="0" applyNumberFormat="1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/>
    </xf>
    <xf numFmtId="0" fontId="41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/>
    </xf>
    <xf numFmtId="0" fontId="42" fillId="20" borderId="2" xfId="0" applyFont="1" applyFill="1" applyBorder="1" applyAlignment="1">
      <alignment horizontal="center"/>
    </xf>
    <xf numFmtId="0" fontId="42" fillId="21" borderId="2" xfId="0" applyFont="1" applyFill="1" applyBorder="1" applyAlignment="1">
      <alignment horizontal="center"/>
    </xf>
    <xf numFmtId="0" fontId="42" fillId="4" borderId="2" xfId="0" applyFont="1" applyFill="1" applyBorder="1" applyAlignment="1">
      <alignment horizontal="center"/>
    </xf>
    <xf numFmtId="0" fontId="42" fillId="22" borderId="2" xfId="0" applyFont="1" applyFill="1" applyBorder="1" applyAlignment="1">
      <alignment horizontal="center"/>
    </xf>
    <xf numFmtId="164" fontId="37" fillId="23" borderId="2" xfId="0" applyNumberFormat="1" applyFont="1" applyFill="1" applyBorder="1" applyAlignment="1">
      <alignment horizontal="center" vertical="center"/>
    </xf>
    <xf numFmtId="0" fontId="37" fillId="23" borderId="2" xfId="0" applyFont="1" applyFill="1" applyBorder="1" applyAlignment="1">
      <alignment horizontal="center" vertical="center"/>
    </xf>
    <xf numFmtId="0" fontId="42" fillId="23" borderId="2" xfId="0" applyFont="1" applyFill="1" applyBorder="1" applyAlignment="1">
      <alignment horizontal="center"/>
    </xf>
    <xf numFmtId="0" fontId="42" fillId="24" borderId="2" xfId="0" applyFont="1" applyFill="1" applyBorder="1" applyAlignment="1">
      <alignment horizontal="center"/>
    </xf>
    <xf numFmtId="0" fontId="42" fillId="25" borderId="2" xfId="0" applyFont="1" applyFill="1" applyBorder="1" applyAlignment="1">
      <alignment horizontal="center"/>
    </xf>
    <xf numFmtId="0" fontId="37" fillId="37" borderId="2" xfId="0" applyFont="1" applyFill="1" applyBorder="1" applyAlignment="1">
      <alignment horizontal="right"/>
    </xf>
    <xf numFmtId="0" fontId="37" fillId="9" borderId="2" xfId="0" applyFont="1" applyFill="1" applyBorder="1" applyAlignment="1">
      <alignment horizontal="right"/>
    </xf>
    <xf numFmtId="0" fontId="37" fillId="9" borderId="14" xfId="0" applyFont="1" applyFill="1" applyBorder="1" applyAlignment="1">
      <alignment horizontal="right"/>
    </xf>
    <xf numFmtId="0" fontId="37" fillId="9" borderId="15" xfId="0" applyFont="1" applyFill="1" applyBorder="1" applyAlignment="1">
      <alignment horizontal="right"/>
    </xf>
    <xf numFmtId="0" fontId="41" fillId="19" borderId="2" xfId="0" applyFont="1" applyFill="1" applyBorder="1" applyAlignment="1">
      <alignment horizontal="center" vertical="center"/>
    </xf>
    <xf numFmtId="0" fontId="41" fillId="19" borderId="2" xfId="0" applyFont="1" applyFill="1" applyBorder="1" applyAlignment="1">
      <alignment horizontal="left" vertical="center"/>
    </xf>
    <xf numFmtId="0" fontId="42" fillId="19" borderId="2" xfId="0" applyFont="1" applyFill="1" applyBorder="1" applyAlignment="1">
      <alignment horizontal="left"/>
    </xf>
    <xf numFmtId="0" fontId="41" fillId="26" borderId="2" xfId="0" applyFont="1" applyFill="1" applyBorder="1" applyAlignment="1">
      <alignment horizontal="left" vertical="center"/>
    </xf>
    <xf numFmtId="0" fontId="42" fillId="26" borderId="2" xfId="0" applyFont="1" applyFill="1" applyBorder="1" applyAlignment="1">
      <alignment horizontal="left"/>
    </xf>
    <xf numFmtId="0" fontId="41" fillId="27" borderId="2" xfId="0" applyFont="1" applyFill="1" applyBorder="1" applyAlignment="1">
      <alignment horizontal="left" vertical="center"/>
    </xf>
    <xf numFmtId="0" fontId="42" fillId="27" borderId="2" xfId="0" applyFont="1" applyFill="1" applyBorder="1" applyAlignment="1">
      <alignment horizontal="left"/>
    </xf>
    <xf numFmtId="0" fontId="41" fillId="25" borderId="2" xfId="0" applyFont="1" applyFill="1" applyBorder="1" applyAlignment="1">
      <alignment horizontal="left" vertical="center"/>
    </xf>
    <xf numFmtId="0" fontId="42" fillId="25" borderId="2" xfId="0" applyFont="1" applyFill="1" applyBorder="1" applyAlignment="1">
      <alignment horizontal="left"/>
    </xf>
    <xf numFmtId="0" fontId="41" fillId="28" borderId="2" xfId="0" applyFont="1" applyFill="1" applyBorder="1" applyAlignment="1">
      <alignment horizontal="left" vertical="center"/>
    </xf>
    <xf numFmtId="0" fontId="42" fillId="28" borderId="2" xfId="0" applyFont="1" applyFill="1" applyBorder="1" applyAlignment="1">
      <alignment horizontal="left"/>
    </xf>
    <xf numFmtId="0" fontId="41" fillId="29" borderId="2" xfId="0" applyFont="1" applyFill="1" applyBorder="1" applyAlignment="1">
      <alignment horizontal="left" vertical="center"/>
    </xf>
    <xf numFmtId="0" fontId="42" fillId="29" borderId="2" xfId="0" applyFont="1" applyFill="1" applyBorder="1" applyAlignment="1">
      <alignment horizontal="left"/>
    </xf>
    <xf numFmtId="0" fontId="41" fillId="18" borderId="2" xfId="0" applyFont="1" applyFill="1" applyBorder="1" applyAlignment="1">
      <alignment horizontal="left" vertical="center"/>
    </xf>
    <xf numFmtId="0" fontId="42" fillId="18" borderId="2" xfId="0" applyFont="1" applyFill="1" applyBorder="1" applyAlignment="1">
      <alignment horizontal="left"/>
    </xf>
    <xf numFmtId="0" fontId="39" fillId="5" borderId="2" xfId="6" applyFont="1" applyBorder="1" applyAlignment="1" applyProtection="1">
      <alignment horizontal="left" vertical="center"/>
    </xf>
    <xf numFmtId="0" fontId="41" fillId="14" borderId="2" xfId="0" applyFont="1" applyFill="1" applyBorder="1" applyAlignment="1">
      <alignment horizontal="left" vertical="center"/>
    </xf>
    <xf numFmtId="0" fontId="42" fillId="14" borderId="2" xfId="0" applyFont="1" applyFill="1" applyBorder="1" applyAlignment="1">
      <alignment horizontal="left"/>
    </xf>
    <xf numFmtId="0" fontId="42" fillId="14" borderId="2" xfId="0" applyFont="1" applyFill="1" applyBorder="1" applyAlignment="1">
      <alignment horizontal="left" vertical="center"/>
    </xf>
    <xf numFmtId="0" fontId="42" fillId="14" borderId="2" xfId="0" applyFont="1" applyFill="1" applyBorder="1" applyAlignment="1">
      <alignment horizontal="left" vertical="center" wrapText="1"/>
    </xf>
    <xf numFmtId="0" fontId="41" fillId="30" borderId="2" xfId="0" applyFont="1" applyFill="1" applyBorder="1" applyAlignment="1">
      <alignment horizontal="center" vertical="center"/>
    </xf>
    <xf numFmtId="0" fontId="42" fillId="30" borderId="2" xfId="0" applyFont="1" applyFill="1" applyBorder="1" applyAlignment="1">
      <alignment horizontal="center"/>
    </xf>
    <xf numFmtId="0" fontId="41" fillId="31" borderId="2" xfId="0" applyFont="1" applyFill="1" applyBorder="1" applyAlignment="1">
      <alignment horizontal="center" vertical="center"/>
    </xf>
    <xf numFmtId="0" fontId="42" fillId="31" borderId="2" xfId="0" applyFont="1" applyFill="1" applyBorder="1" applyAlignment="1" applyProtection="1">
      <alignment horizontal="center"/>
      <protection locked="0"/>
    </xf>
    <xf numFmtId="0" fontId="41" fillId="32" borderId="2" xfId="0" applyFont="1" applyFill="1" applyBorder="1" applyAlignment="1">
      <alignment horizontal="center" vertical="center"/>
    </xf>
    <xf numFmtId="0" fontId="42" fillId="33" borderId="2" xfId="0" applyFont="1" applyFill="1" applyBorder="1" applyAlignment="1" applyProtection="1">
      <alignment horizontal="center"/>
      <protection locked="0"/>
    </xf>
    <xf numFmtId="0" fontId="41" fillId="10" borderId="2" xfId="0" applyFont="1" applyFill="1" applyBorder="1" applyAlignment="1">
      <alignment horizontal="center" vertical="center"/>
    </xf>
    <xf numFmtId="0" fontId="42" fillId="10" borderId="2" xfId="0" applyFont="1" applyFill="1" applyBorder="1" applyAlignment="1" applyProtection="1">
      <alignment horizontal="center"/>
      <protection locked="0"/>
    </xf>
    <xf numFmtId="0" fontId="41" fillId="22" borderId="2" xfId="0" applyFont="1" applyFill="1" applyBorder="1" applyAlignment="1">
      <alignment horizontal="center" vertical="center"/>
    </xf>
    <xf numFmtId="0" fontId="42" fillId="22" borderId="2" xfId="0" applyFont="1" applyFill="1" applyBorder="1" applyAlignment="1" applyProtection="1">
      <alignment horizontal="center"/>
      <protection locked="0"/>
    </xf>
    <xf numFmtId="164" fontId="40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0" xfId="0" applyFont="1" applyAlignment="1">
      <alignment horizontal="center"/>
    </xf>
    <xf numFmtId="0" fontId="25" fillId="9" borderId="2" xfId="0" applyFont="1" applyFill="1" applyBorder="1" applyAlignment="1">
      <alignment horizontal="center" vertical="center"/>
    </xf>
    <xf numFmtId="0" fontId="25" fillId="36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9" fillId="9" borderId="2" xfId="0" applyFont="1" applyFill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25" fillId="47" borderId="2" xfId="0" applyFont="1" applyFill="1" applyBorder="1" applyAlignment="1">
      <alignment horizontal="center" vertical="center" readingOrder="2"/>
    </xf>
    <xf numFmtId="0" fontId="25" fillId="48" borderId="2" xfId="0" applyFont="1" applyFill="1" applyBorder="1" applyAlignment="1">
      <alignment horizontal="center" vertical="center" readingOrder="2"/>
    </xf>
    <xf numFmtId="0" fontId="25" fillId="9" borderId="2" xfId="0" applyFont="1" applyFill="1" applyBorder="1" applyAlignment="1">
      <alignment horizontal="center" vertical="center" readingOrder="2"/>
    </xf>
    <xf numFmtId="0" fontId="9" fillId="37" borderId="2" xfId="0" applyFont="1" applyFill="1" applyBorder="1" applyAlignment="1">
      <alignment horizontal="center" vertical="center"/>
    </xf>
    <xf numFmtId="0" fontId="43" fillId="9" borderId="2" xfId="0" applyFont="1" applyFill="1" applyBorder="1" applyAlignment="1">
      <alignment horizontal="center" vertical="center"/>
    </xf>
    <xf numFmtId="0" fontId="25" fillId="37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0" fillId="0" borderId="5" xfId="0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25" fillId="9" borderId="4" xfId="0" applyFont="1" applyFill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0" fontId="45" fillId="9" borderId="4" xfId="0" applyFont="1" applyFill="1" applyBorder="1" applyAlignment="1">
      <alignment horizontal="center" vertical="center"/>
    </xf>
    <xf numFmtId="164" fontId="16" fillId="9" borderId="4" xfId="0" applyNumberFormat="1" applyFont="1" applyFill="1" applyBorder="1" applyAlignment="1">
      <alignment horizontal="center" vertical="center"/>
    </xf>
    <xf numFmtId="0" fontId="16" fillId="9" borderId="4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164" fontId="44" fillId="9" borderId="10" xfId="0" applyNumberFormat="1" applyFont="1" applyFill="1" applyBorder="1" applyAlignment="1">
      <alignment horizontal="center" vertical="center"/>
    </xf>
    <xf numFmtId="0" fontId="9" fillId="9" borderId="11" xfId="0" applyFont="1" applyFill="1" applyBorder="1" applyAlignment="1" applyProtection="1">
      <alignment horizontal="center" vertical="center"/>
      <protection locked="0"/>
    </xf>
    <xf numFmtId="0" fontId="44" fillId="0" borderId="11" xfId="0" applyFont="1" applyBorder="1" applyAlignment="1">
      <alignment horizontal="center" vertical="center"/>
    </xf>
    <xf numFmtId="0" fontId="25" fillId="9" borderId="3" xfId="0" applyFont="1" applyFill="1" applyBorder="1" applyAlignment="1">
      <alignment horizontal="center" vertical="center"/>
    </xf>
    <xf numFmtId="0" fontId="25" fillId="47" borderId="25" xfId="0" applyFont="1" applyFill="1" applyBorder="1" applyAlignment="1">
      <alignment horizontal="center" vertical="center" readingOrder="2"/>
    </xf>
    <xf numFmtId="0" fontId="4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/>
    </xf>
    <xf numFmtId="0" fontId="40" fillId="46" borderId="22" xfId="0" applyFont="1" applyFill="1" applyBorder="1" applyAlignment="1">
      <alignment horizontal="center" vertical="center"/>
    </xf>
    <xf numFmtId="0" fontId="44" fillId="0" borderId="22" xfId="0" applyFont="1" applyBorder="1" applyAlignment="1">
      <alignment horizontal="center" vertical="center"/>
    </xf>
    <xf numFmtId="0" fontId="40" fillId="0" borderId="23" xfId="0" applyFont="1" applyBorder="1" applyAlignment="1">
      <alignment horizontal="center" vertical="center"/>
    </xf>
    <xf numFmtId="0" fontId="37" fillId="49" borderId="2" xfId="0" applyFont="1" applyFill="1" applyBorder="1" applyAlignment="1">
      <alignment horizontal="center" vertical="center"/>
    </xf>
    <xf numFmtId="0" fontId="37" fillId="50" borderId="2" xfId="0" applyFont="1" applyFill="1" applyBorder="1" applyAlignment="1">
      <alignment horizontal="center" vertical="center"/>
    </xf>
    <xf numFmtId="0" fontId="46" fillId="11" borderId="2" xfId="7" applyFont="1" applyFill="1" applyBorder="1" applyAlignment="1" applyProtection="1">
      <alignment horizontal="center" vertical="center" wrapText="1" readingOrder="2"/>
    </xf>
    <xf numFmtId="0" fontId="18" fillId="12" borderId="2" xfId="7" applyFont="1" applyFill="1" applyBorder="1" applyAlignment="1" applyProtection="1">
      <alignment horizontal="right" vertical="center" wrapText="1" readingOrder="2"/>
    </xf>
    <xf numFmtId="0" fontId="18" fillId="11" borderId="2" xfId="7" applyFont="1" applyFill="1" applyBorder="1" applyAlignment="1" applyProtection="1">
      <alignment horizontal="center" vertical="center" wrapText="1" readingOrder="2"/>
    </xf>
    <xf numFmtId="0" fontId="18" fillId="12" borderId="2" xfId="7" applyFont="1" applyFill="1" applyBorder="1" applyAlignment="1" applyProtection="1">
      <alignment horizontal="center" vertical="center" wrapText="1" readingOrder="2"/>
    </xf>
    <xf numFmtId="0" fontId="18" fillId="11" borderId="2" xfId="7" applyFont="1" applyFill="1" applyBorder="1" applyAlignment="1" applyProtection="1">
      <alignment horizontal="right" vertical="center" wrapText="1" readingOrder="2"/>
    </xf>
    <xf numFmtId="0" fontId="17" fillId="0" borderId="0" xfId="0" applyFont="1" applyAlignment="1">
      <alignment horizontal="right"/>
    </xf>
    <xf numFmtId="167" fontId="18" fillId="11" borderId="2" xfId="7" applyNumberFormat="1" applyFont="1" applyFill="1" applyBorder="1" applyAlignment="1" applyProtection="1">
      <alignment horizontal="center" vertical="center" wrapText="1" readingOrder="2"/>
    </xf>
    <xf numFmtId="167" fontId="18" fillId="12" borderId="2" xfId="7" applyNumberFormat="1" applyFont="1" applyFill="1" applyBorder="1" applyAlignment="1" applyProtection="1">
      <alignment horizontal="right" vertical="center" wrapText="1" readingOrder="2"/>
    </xf>
    <xf numFmtId="167" fontId="18" fillId="12" borderId="2" xfId="7" applyNumberFormat="1" applyFont="1" applyFill="1" applyBorder="1" applyAlignment="1" applyProtection="1">
      <alignment horizontal="center" vertical="center" wrapText="1" readingOrder="2"/>
    </xf>
    <xf numFmtId="167" fontId="18" fillId="11" borderId="2" xfId="7" applyNumberFormat="1" applyFont="1" applyFill="1" applyBorder="1" applyAlignment="1" applyProtection="1">
      <alignment horizontal="right" vertical="center" wrapText="1" readingOrder="2"/>
    </xf>
    <xf numFmtId="167" fontId="17" fillId="0" borderId="0" xfId="0" applyNumberFormat="1" applyFont="1" applyAlignment="1">
      <alignment horizontal="right"/>
    </xf>
    <xf numFmtId="0" fontId="18" fillId="5" borderId="2" xfId="6" applyFont="1" applyBorder="1" applyAlignment="1" applyProtection="1">
      <alignment horizontal="right" vertical="center"/>
    </xf>
    <xf numFmtId="164" fontId="18" fillId="12" borderId="2" xfId="7" applyNumberFormat="1" applyFont="1" applyFill="1" applyBorder="1" applyAlignment="1" applyProtection="1">
      <alignment horizontal="right" vertical="center" wrapText="1" readingOrder="2"/>
    </xf>
    <xf numFmtId="164" fontId="17" fillId="11" borderId="2" xfId="0" applyNumberFormat="1" applyFont="1" applyFill="1" applyBorder="1" applyAlignment="1">
      <alignment horizontal="right" vertical="center"/>
    </xf>
    <xf numFmtId="164" fontId="18" fillId="11" borderId="2" xfId="7" applyNumberFormat="1" applyFont="1" applyFill="1" applyBorder="1" applyAlignment="1" applyProtection="1">
      <alignment horizontal="center" vertical="center" wrapText="1" readingOrder="2"/>
    </xf>
    <xf numFmtId="164" fontId="18" fillId="12" borderId="2" xfId="7" applyNumberFormat="1" applyFont="1" applyFill="1" applyBorder="1" applyAlignment="1" applyProtection="1">
      <alignment horizontal="center" vertical="center" wrapText="1" readingOrder="2"/>
    </xf>
    <xf numFmtId="0" fontId="18" fillId="13" borderId="2" xfId="0" applyFont="1" applyFill="1" applyBorder="1" applyAlignment="1">
      <alignment horizontal="right" vertical="center"/>
    </xf>
    <xf numFmtId="0" fontId="46" fillId="11" borderId="2" xfId="0" applyFont="1" applyFill="1" applyBorder="1" applyAlignment="1">
      <alignment horizontal="center" vertical="center"/>
    </xf>
    <xf numFmtId="164" fontId="17" fillId="12" borderId="2" xfId="0" applyNumberFormat="1" applyFont="1" applyFill="1" applyBorder="1" applyAlignment="1">
      <alignment horizontal="right" vertical="center"/>
    </xf>
    <xf numFmtId="0" fontId="17" fillId="11" borderId="2" xfId="0" applyFont="1" applyFill="1" applyBorder="1" applyAlignment="1">
      <alignment horizontal="right" vertical="center"/>
    </xf>
    <xf numFmtId="164" fontId="17" fillId="11" borderId="2" xfId="0" applyNumberFormat="1" applyFont="1" applyFill="1" applyBorder="1" applyAlignment="1">
      <alignment horizontal="center" vertical="center"/>
    </xf>
    <xf numFmtId="164" fontId="17" fillId="12" borderId="2" xfId="0" applyNumberFormat="1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right" vertical="center"/>
    </xf>
    <xf numFmtId="0" fontId="16" fillId="11" borderId="16" xfId="0" applyFont="1" applyFill="1" applyBorder="1" applyAlignment="1">
      <alignment horizontal="center" vertical="center"/>
    </xf>
    <xf numFmtId="0" fontId="17" fillId="43" borderId="2" xfId="0" applyFont="1" applyFill="1" applyBorder="1" applyAlignment="1">
      <alignment horizontal="right" vertical="center"/>
    </xf>
    <xf numFmtId="164" fontId="18" fillId="44" borderId="2" xfId="7" applyNumberFormat="1" applyFont="1" applyFill="1" applyBorder="1" applyAlignment="1" applyProtection="1">
      <alignment horizontal="right" vertical="center" wrapText="1" readingOrder="2"/>
    </xf>
    <xf numFmtId="0" fontId="15" fillId="15" borderId="2" xfId="0" applyFont="1" applyFill="1" applyBorder="1" applyAlignment="1">
      <alignment horizontal="right" vertical="center"/>
    </xf>
    <xf numFmtId="0" fontId="15" fillId="17" borderId="2" xfId="0" applyFont="1" applyFill="1" applyBorder="1" applyAlignment="1">
      <alignment horizontal="right" vertical="center"/>
    </xf>
    <xf numFmtId="0" fontId="15" fillId="19" borderId="2" xfId="0" applyFont="1" applyFill="1" applyBorder="1" applyAlignment="1">
      <alignment horizontal="right" vertical="center"/>
    </xf>
    <xf numFmtId="164" fontId="17" fillId="45" borderId="2" xfId="0" applyNumberFormat="1" applyFont="1" applyFill="1" applyBorder="1" applyAlignment="1">
      <alignment horizontal="right" vertical="center"/>
    </xf>
    <xf numFmtId="0" fontId="17" fillId="45" borderId="2" xfId="0" applyFont="1" applyFill="1" applyBorder="1" applyAlignment="1">
      <alignment horizontal="right" vertical="center"/>
    </xf>
    <xf numFmtId="0" fontId="17" fillId="0" borderId="2" xfId="0" applyFont="1" applyBorder="1" applyAlignment="1">
      <alignment horizontal="right"/>
    </xf>
    <xf numFmtId="0" fontId="15" fillId="0" borderId="2" xfId="0" applyFont="1" applyBorder="1" applyAlignment="1">
      <alignment horizontal="right" vertical="center"/>
    </xf>
    <xf numFmtId="0" fontId="16" fillId="37" borderId="2" xfId="0" applyFont="1" applyFill="1" applyBorder="1" applyAlignment="1">
      <alignment horizontal="right"/>
    </xf>
    <xf numFmtId="0" fontId="16" fillId="9" borderId="2" xfId="0" applyFont="1" applyFill="1" applyBorder="1" applyAlignment="1">
      <alignment horizontal="right"/>
    </xf>
    <xf numFmtId="0" fontId="16" fillId="9" borderId="14" xfId="0" applyFont="1" applyFill="1" applyBorder="1" applyAlignment="1">
      <alignment horizontal="right"/>
    </xf>
    <xf numFmtId="0" fontId="16" fillId="9" borderId="15" xfId="0" applyFont="1" applyFill="1" applyBorder="1" applyAlignment="1">
      <alignment horizontal="right"/>
    </xf>
    <xf numFmtId="0" fontId="17" fillId="44" borderId="2" xfId="0" applyFont="1" applyFill="1" applyBorder="1" applyAlignment="1">
      <alignment horizontal="right" vertical="center"/>
    </xf>
    <xf numFmtId="0" fontId="15" fillId="26" borderId="2" xfId="0" applyFont="1" applyFill="1" applyBorder="1" applyAlignment="1">
      <alignment horizontal="right" vertical="center"/>
    </xf>
    <xf numFmtId="0" fontId="15" fillId="27" borderId="2" xfId="0" applyFont="1" applyFill="1" applyBorder="1" applyAlignment="1">
      <alignment horizontal="right" vertical="center"/>
    </xf>
    <xf numFmtId="0" fontId="15" fillId="25" borderId="2" xfId="0" applyFont="1" applyFill="1" applyBorder="1" applyAlignment="1">
      <alignment horizontal="right" vertical="center"/>
    </xf>
    <xf numFmtId="0" fontId="15" fillId="28" borderId="2" xfId="0" applyFont="1" applyFill="1" applyBorder="1" applyAlignment="1">
      <alignment horizontal="right" vertical="center"/>
    </xf>
    <xf numFmtId="0" fontId="17" fillId="43" borderId="2" xfId="0" applyFont="1" applyFill="1" applyBorder="1" applyAlignment="1">
      <alignment horizontal="center" vertical="center"/>
    </xf>
    <xf numFmtId="0" fontId="15" fillId="29" borderId="2" xfId="0" applyFont="1" applyFill="1" applyBorder="1" applyAlignment="1">
      <alignment horizontal="right" vertical="center"/>
    </xf>
    <xf numFmtId="0" fontId="15" fillId="18" borderId="2" xfId="0" applyFont="1" applyFill="1" applyBorder="1" applyAlignment="1">
      <alignment horizontal="right" vertical="center"/>
    </xf>
    <xf numFmtId="0" fontId="15" fillId="30" borderId="2" xfId="0" applyFont="1" applyFill="1" applyBorder="1" applyAlignment="1">
      <alignment horizontal="right" vertical="center"/>
    </xf>
    <xf numFmtId="0" fontId="17" fillId="23" borderId="2" xfId="0" applyFont="1" applyFill="1" applyBorder="1" applyAlignment="1">
      <alignment horizontal="center" vertical="center"/>
    </xf>
    <xf numFmtId="0" fontId="17" fillId="31" borderId="2" xfId="0" applyFont="1" applyFill="1" applyBorder="1" applyAlignment="1">
      <alignment horizontal="right" vertical="center"/>
    </xf>
    <xf numFmtId="0" fontId="17" fillId="32" borderId="2" xfId="0" applyFont="1" applyFill="1" applyBorder="1" applyAlignment="1">
      <alignment horizontal="right" vertical="center"/>
    </xf>
    <xf numFmtId="0" fontId="17" fillId="10" borderId="2" xfId="0" applyFont="1" applyFill="1" applyBorder="1" applyAlignment="1">
      <alignment horizontal="right" vertical="center"/>
    </xf>
    <xf numFmtId="0" fontId="17" fillId="22" borderId="2" xfId="0" applyFont="1" applyFill="1" applyBorder="1" applyAlignment="1">
      <alignment horizontal="right" vertical="center"/>
    </xf>
    <xf numFmtId="0" fontId="46" fillId="0" borderId="0" xfId="0" applyFont="1" applyAlignment="1">
      <alignment horizontal="center"/>
    </xf>
    <xf numFmtId="16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64" fontId="17" fillId="0" borderId="0" xfId="0" applyNumberFormat="1" applyFont="1" applyAlignment="1">
      <alignment horizontal="right"/>
    </xf>
    <xf numFmtId="0" fontId="0" fillId="0" borderId="2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8" xfId="0" applyBorder="1" applyAlignment="1">
      <alignment horizontal="center"/>
    </xf>
    <xf numFmtId="0" fontId="44" fillId="0" borderId="29" xfId="0" applyFont="1" applyBorder="1" applyAlignment="1">
      <alignment horizontal="center" vertical="center"/>
    </xf>
    <xf numFmtId="0" fontId="45" fillId="0" borderId="30" xfId="0" applyFont="1" applyBorder="1" applyAlignment="1">
      <alignment horizontal="center" vertical="center"/>
    </xf>
    <xf numFmtId="0" fontId="17" fillId="51" borderId="2" xfId="0" applyFont="1" applyFill="1" applyBorder="1" applyAlignment="1">
      <alignment horizontal="center" vertical="center"/>
    </xf>
    <xf numFmtId="14" fontId="39" fillId="11" borderId="2" xfId="7" applyNumberFormat="1" applyFont="1" applyFill="1" applyBorder="1" applyAlignment="1" applyProtection="1">
      <alignment horizontal="center" vertical="center" wrapText="1" readingOrder="2"/>
    </xf>
    <xf numFmtId="0" fontId="18" fillId="5" borderId="9" xfId="6" applyFont="1" applyBorder="1" applyAlignment="1" applyProtection="1">
      <alignment horizontal="center" vertical="center"/>
    </xf>
    <xf numFmtId="0" fontId="11" fillId="8" borderId="5" xfId="6" applyFont="1" applyFill="1" applyBorder="1" applyAlignment="1" applyProtection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13" fillId="8" borderId="2" xfId="6" applyFont="1" applyFill="1" applyBorder="1" applyAlignment="1" applyProtection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18" fillId="5" borderId="2" xfId="6" applyFont="1" applyBorder="1" applyAlignment="1" applyProtection="1">
      <alignment horizontal="center" vertical="center"/>
    </xf>
    <xf numFmtId="0" fontId="23" fillId="37" borderId="2" xfId="6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center" vertical="center"/>
    </xf>
    <xf numFmtId="0" fontId="37" fillId="38" borderId="21" xfId="0" applyFont="1" applyFill="1" applyBorder="1" applyAlignment="1">
      <alignment horizontal="center"/>
    </xf>
    <xf numFmtId="0" fontId="37" fillId="38" borderId="22" xfId="0" applyFont="1" applyFill="1" applyBorder="1" applyAlignment="1">
      <alignment horizontal="center"/>
    </xf>
    <xf numFmtId="0" fontId="18" fillId="10" borderId="2" xfId="0" applyFont="1" applyFill="1" applyBorder="1" applyAlignment="1">
      <alignment horizontal="center" vertical="center" wrapText="1"/>
    </xf>
    <xf numFmtId="0" fontId="18" fillId="13" borderId="2" xfId="7" applyFont="1" applyFill="1" applyBorder="1" applyAlignment="1" applyProtection="1">
      <alignment horizontal="right" vertical="center" wrapText="1" readingOrder="2"/>
    </xf>
    <xf numFmtId="167" fontId="18" fillId="10" borderId="2" xfId="0" applyNumberFormat="1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right"/>
    </xf>
    <xf numFmtId="0" fontId="17" fillId="0" borderId="2" xfId="0" applyFont="1" applyBorder="1" applyAlignment="1">
      <alignment horizontal="right"/>
    </xf>
    <xf numFmtId="0" fontId="16" fillId="9" borderId="2" xfId="0" applyFont="1" applyFill="1" applyBorder="1" applyAlignment="1">
      <alignment horizontal="right" vertical="center"/>
    </xf>
    <xf numFmtId="0" fontId="23" fillId="37" borderId="21" xfId="6" applyFont="1" applyFill="1" applyBorder="1" applyAlignment="1" applyProtection="1">
      <alignment horizontal="center" vertical="center"/>
    </xf>
    <xf numFmtId="0" fontId="23" fillId="37" borderId="22" xfId="6" applyFont="1" applyFill="1" applyBorder="1" applyAlignment="1" applyProtection="1">
      <alignment horizontal="center" vertical="center"/>
    </xf>
    <xf numFmtId="0" fontId="39" fillId="10" borderId="2" xfId="0" applyFont="1" applyFill="1" applyBorder="1" applyAlignment="1">
      <alignment horizontal="center" vertical="center" wrapText="1"/>
    </xf>
    <xf numFmtId="0" fontId="39" fillId="13" borderId="2" xfId="7" applyFont="1" applyFill="1" applyBorder="1" applyAlignment="1" applyProtection="1">
      <alignment horizontal="center" vertical="center" wrapText="1" readingOrder="2"/>
    </xf>
    <xf numFmtId="167" fontId="39" fillId="10" borderId="2" xfId="0" applyNumberFormat="1" applyFont="1" applyFill="1" applyBorder="1" applyAlignment="1">
      <alignment horizontal="center" vertical="center" wrapText="1"/>
    </xf>
    <xf numFmtId="0" fontId="42" fillId="9" borderId="2" xfId="0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34" fillId="34" borderId="4" xfId="0" applyFont="1" applyFill="1" applyBorder="1" applyAlignment="1">
      <alignment horizontal="center" readingOrder="2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9" fillId="34" borderId="5" xfId="0" applyFont="1" applyFill="1" applyBorder="1" applyAlignment="1">
      <alignment horizontal="center"/>
    </xf>
    <xf numFmtId="0" fontId="29" fillId="34" borderId="4" xfId="0" applyFont="1" applyFill="1" applyBorder="1" applyAlignment="1">
      <alignment horizontal="center"/>
    </xf>
  </cellXfs>
  <cellStyles count="8">
    <cellStyle name="Excel Built-in Accent1" xfId="7" xr:uid="{00000000-0005-0000-0000-00000C000000}"/>
    <cellStyle name="Excel Built-in Accent2" xfId="6" xr:uid="{00000000-0005-0000-0000-00000B000000}"/>
    <cellStyle name="Normal" xfId="0" builtinId="0"/>
    <cellStyle name="Untitled1" xfId="1" xr:uid="{00000000-0005-0000-0000-000006000000}"/>
    <cellStyle name="Untitled2" xfId="2" xr:uid="{00000000-0005-0000-0000-000007000000}"/>
    <cellStyle name="Untitled3" xfId="3" xr:uid="{00000000-0005-0000-0000-000008000000}"/>
    <cellStyle name="Untitled4" xfId="4" xr:uid="{00000000-0005-0000-0000-000009000000}"/>
    <cellStyle name="Untitled5" xfId="5" xr:uid="{00000000-0005-0000-0000-00000A000000}"/>
  </cellStyles>
  <dxfs count="2">
    <dxf>
      <font>
        <sz val="16"/>
        <color rgb="FFFFFFFF"/>
        <name val="Calibri"/>
        <family val="2"/>
        <charset val="1"/>
      </font>
      <fill>
        <patternFill>
          <bgColor rgb="FFFF0000"/>
        </patternFill>
      </fill>
    </dxf>
    <dxf>
      <font>
        <b/>
        <sz val="16"/>
        <color rgb="FFFFFFFF"/>
        <name val="Calibri"/>
        <family val="2"/>
        <charset val="1"/>
      </font>
      <fill>
        <patternFill>
          <bgColor rgb="FF069A2E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900"/>
      <rgbColor rgb="FFC00000"/>
      <rgbColor rgb="FF069A2E"/>
      <rgbColor rgb="FF000080"/>
      <rgbColor rgb="FFA8D08D"/>
      <rgbColor rgb="FF800080"/>
      <rgbColor rgb="FF008080"/>
      <rgbColor rgb="FFBFBFBF"/>
      <rgbColor rgb="FF808080"/>
      <rgbColor rgb="FF8FAADC"/>
      <rgbColor rgb="FF993366"/>
      <rgbColor rgb="FFFFFFCC"/>
      <rgbColor rgb="FFD9D9D9"/>
      <rgbColor rgb="FF660066"/>
      <rgbColor rgb="FFFFD966"/>
      <rgbColor rgb="FF0070C0"/>
      <rgbColor rgb="FFBDD6EE"/>
      <rgbColor rgb="FF000080"/>
      <rgbColor rgb="FFFF00FF"/>
      <rgbColor rgb="FFFFD965"/>
      <rgbColor rgb="FFA9D18E"/>
      <rgbColor rgb="FF800080"/>
      <rgbColor rgb="FF800000"/>
      <rgbColor rgb="FF008080"/>
      <rgbColor rgb="FF0000FF"/>
      <rgbColor rgb="FF00B0F0"/>
      <rgbColor rgb="FFC5E0B3"/>
      <rgbColor rgb="FFC5E0B4"/>
      <rgbColor rgb="FFFFE598"/>
      <rgbColor rgb="FF9DC3E6"/>
      <rgbColor rgb="FFF7CAAC"/>
      <rgbColor rgb="FFB4C6E7"/>
      <rgbColor rgb="FFF8CBAD"/>
      <rgbColor rgb="FF4472C4"/>
      <rgbColor rgb="FF5B9BD5"/>
      <rgbColor rgb="FF92D050"/>
      <rgbColor rgb="FFFFC000"/>
      <rgbColor rgb="FFBF9000"/>
      <rgbColor rgb="FFED7D31"/>
      <rgbColor rgb="FF729FCF"/>
      <rgbColor rgb="FF7F7F7F"/>
      <rgbColor rgb="FF003366"/>
      <rgbColor rgb="FF3FAF46"/>
      <rgbColor rgb="FF003300"/>
      <rgbColor rgb="FF333300"/>
      <rgbColor rgb="FF993300"/>
      <rgbColor rgb="FF993366"/>
      <rgbColor rgb="FF333399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1048576"/>
  <sheetViews>
    <sheetView showGridLines="0" rightToLeft="1" zoomScale="60" zoomScaleNormal="60" workbookViewId="0">
      <selection activeCell="D10" sqref="D10"/>
    </sheetView>
  </sheetViews>
  <sheetFormatPr baseColWidth="10" defaultColWidth="34" defaultRowHeight="15" customHeight="1" x14ac:dyDescent="0.2"/>
  <cols>
    <col min="1" max="1" width="5.5" style="2" customWidth="1"/>
    <col min="2" max="2" width="48.5" style="3" customWidth="1"/>
    <col min="3" max="3" width="32.33203125" style="4" customWidth="1"/>
    <col min="4" max="4" width="29.5" style="5" customWidth="1"/>
    <col min="5" max="5" width="28.1640625" style="2" customWidth="1"/>
    <col min="6" max="6" width="20.33203125" style="6" customWidth="1"/>
    <col min="7" max="16384" width="34" style="2"/>
  </cols>
  <sheetData>
    <row r="3" spans="1:6" ht="29" x14ac:dyDescent="0.2">
      <c r="A3"/>
      <c r="B3" s="7" t="s">
        <v>0</v>
      </c>
      <c r="C3"/>
      <c r="D3"/>
      <c r="E3"/>
      <c r="F3"/>
    </row>
    <row r="4" spans="1:6" ht="26" x14ac:dyDescent="0.2">
      <c r="A4" s="8">
        <v>1</v>
      </c>
      <c r="B4" s="9" t="s">
        <v>1</v>
      </c>
      <c r="C4"/>
      <c r="D4"/>
    </row>
    <row r="5" spans="1:6" ht="26" x14ac:dyDescent="0.2">
      <c r="A5" s="10">
        <v>2</v>
      </c>
      <c r="B5" s="11" t="s">
        <v>2</v>
      </c>
      <c r="C5"/>
      <c r="D5"/>
    </row>
    <row r="6" spans="1:6" ht="26" x14ac:dyDescent="0.2">
      <c r="A6" s="10">
        <v>3</v>
      </c>
      <c r="B6" s="11" t="s">
        <v>3</v>
      </c>
      <c r="C6"/>
      <c r="D6"/>
    </row>
    <row r="7" spans="1:6" ht="26" x14ac:dyDescent="0.2">
      <c r="A7" s="10">
        <v>4</v>
      </c>
      <c r="B7" s="11"/>
      <c r="C7"/>
      <c r="D7"/>
    </row>
    <row r="8" spans="1:6" x14ac:dyDescent="0.2">
      <c r="A8"/>
      <c r="B8"/>
      <c r="C8"/>
      <c r="D8"/>
      <c r="E8"/>
      <c r="F8"/>
    </row>
    <row r="9" spans="1:6" s="12" customFormat="1" ht="28" customHeight="1" x14ac:dyDescent="0.2">
      <c r="A9"/>
      <c r="B9"/>
      <c r="C9"/>
      <c r="D9"/>
      <c r="E9"/>
      <c r="F9"/>
    </row>
    <row r="10" spans="1:6" customFormat="1" ht="54.25" customHeight="1" x14ac:dyDescent="0.2">
      <c r="A10" s="353" t="s">
        <v>4</v>
      </c>
      <c r="B10" s="353"/>
      <c r="C10" s="13" t="s">
        <v>5</v>
      </c>
      <c r="D10" s="14" t="s">
        <v>6</v>
      </c>
      <c r="E10" s="15" t="s">
        <v>7</v>
      </c>
      <c r="F10" s="16" t="s">
        <v>8</v>
      </c>
    </row>
    <row r="11" spans="1:6" ht="19" x14ac:dyDescent="0.2">
      <c r="A11" s="17">
        <v>1</v>
      </c>
      <c r="B11" s="18" t="s">
        <v>9</v>
      </c>
      <c r="C11" s="19">
        <v>400</v>
      </c>
      <c r="D11" s="20">
        <v>400</v>
      </c>
      <c r="E11" s="21">
        <f t="shared" ref="E11:E25" si="0">D11-C11</f>
        <v>0</v>
      </c>
      <c r="F11" s="22"/>
    </row>
    <row r="12" spans="1:6" ht="19" x14ac:dyDescent="0.2">
      <c r="A12" s="17">
        <v>2</v>
      </c>
      <c r="B12" s="18" t="s">
        <v>10</v>
      </c>
      <c r="C12" s="19">
        <v>260</v>
      </c>
      <c r="D12" s="20">
        <v>260</v>
      </c>
      <c r="E12" s="21">
        <f t="shared" si="0"/>
        <v>0</v>
      </c>
      <c r="F12" s="22"/>
    </row>
    <row r="13" spans="1:6" ht="19" x14ac:dyDescent="0.2">
      <c r="A13" s="17">
        <v>3</v>
      </c>
      <c r="B13" s="18" t="s">
        <v>11</v>
      </c>
      <c r="C13" s="19">
        <v>230</v>
      </c>
      <c r="D13" s="20">
        <v>230</v>
      </c>
      <c r="E13" s="21">
        <f t="shared" si="0"/>
        <v>0</v>
      </c>
      <c r="F13" s="22"/>
    </row>
    <row r="14" spans="1:6" ht="19" x14ac:dyDescent="0.2">
      <c r="A14" s="17">
        <v>4</v>
      </c>
      <c r="B14" s="18" t="s">
        <v>12</v>
      </c>
      <c r="C14" s="19">
        <v>85</v>
      </c>
      <c r="D14" s="20">
        <v>103</v>
      </c>
      <c r="E14" s="21">
        <f t="shared" si="0"/>
        <v>18</v>
      </c>
      <c r="F14" s="22"/>
    </row>
    <row r="15" spans="1:6" ht="19" x14ac:dyDescent="0.2">
      <c r="A15" s="17">
        <v>5</v>
      </c>
      <c r="B15" s="18" t="s">
        <v>13</v>
      </c>
      <c r="C15" s="19">
        <v>567</v>
      </c>
      <c r="D15" s="20">
        <v>567</v>
      </c>
      <c r="E15" s="21">
        <f t="shared" si="0"/>
        <v>0</v>
      </c>
      <c r="F15" s="22"/>
    </row>
    <row r="16" spans="1:6" ht="19" x14ac:dyDescent="0.2">
      <c r="A16" s="17">
        <v>6</v>
      </c>
      <c r="B16" s="18" t="s">
        <v>14</v>
      </c>
      <c r="C16" s="19">
        <v>183</v>
      </c>
      <c r="D16" s="20">
        <v>183</v>
      </c>
      <c r="E16" s="21">
        <f t="shared" si="0"/>
        <v>0</v>
      </c>
      <c r="F16" s="22"/>
    </row>
    <row r="17" spans="1:6" ht="19" x14ac:dyDescent="0.2">
      <c r="A17" s="17">
        <v>7</v>
      </c>
      <c r="B17" s="18" t="s">
        <v>15</v>
      </c>
      <c r="C17" s="19">
        <v>444</v>
      </c>
      <c r="D17" s="20">
        <v>444</v>
      </c>
      <c r="E17" s="21">
        <f t="shared" si="0"/>
        <v>0</v>
      </c>
      <c r="F17" s="22"/>
    </row>
    <row r="18" spans="1:6" ht="19" x14ac:dyDescent="0.2">
      <c r="A18" s="17">
        <v>8</v>
      </c>
      <c r="B18" s="18" t="s">
        <v>16</v>
      </c>
      <c r="C18" s="19">
        <v>821</v>
      </c>
      <c r="D18" s="20">
        <v>812</v>
      </c>
      <c r="E18" s="21">
        <f t="shared" si="0"/>
        <v>-9</v>
      </c>
      <c r="F18" s="23"/>
    </row>
    <row r="19" spans="1:6" ht="19" x14ac:dyDescent="0.2">
      <c r="A19" s="17">
        <v>9</v>
      </c>
      <c r="B19" s="18" t="s">
        <v>17</v>
      </c>
      <c r="C19" s="19">
        <v>0</v>
      </c>
      <c r="D19" s="20"/>
      <c r="E19" s="21">
        <f t="shared" si="0"/>
        <v>0</v>
      </c>
      <c r="F19" s="22"/>
    </row>
    <row r="20" spans="1:6" ht="19" x14ac:dyDescent="0.2">
      <c r="A20" s="17">
        <v>10</v>
      </c>
      <c r="B20" s="18" t="s">
        <v>18</v>
      </c>
      <c r="C20" s="19">
        <v>0</v>
      </c>
      <c r="D20" s="20"/>
      <c r="E20" s="21">
        <f t="shared" si="0"/>
        <v>0</v>
      </c>
      <c r="F20" s="22"/>
    </row>
    <row r="21" spans="1:6" ht="19" x14ac:dyDescent="0.2">
      <c r="A21" s="17">
        <v>11</v>
      </c>
      <c r="B21" s="18" t="s">
        <v>19</v>
      </c>
      <c r="C21" s="19">
        <v>0</v>
      </c>
      <c r="D21" s="20"/>
      <c r="E21" s="21">
        <f t="shared" si="0"/>
        <v>0</v>
      </c>
      <c r="F21" s="22"/>
    </row>
    <row r="22" spans="1:6" ht="19" x14ac:dyDescent="0.2">
      <c r="A22" s="17">
        <v>12</v>
      </c>
      <c r="B22" s="18" t="s">
        <v>20</v>
      </c>
      <c r="C22" s="19">
        <v>0</v>
      </c>
      <c r="D22" s="20"/>
      <c r="E22" s="21">
        <f t="shared" si="0"/>
        <v>0</v>
      </c>
      <c r="F22" s="22"/>
    </row>
    <row r="23" spans="1:6" ht="19" x14ac:dyDescent="0.2">
      <c r="A23" s="17">
        <v>13</v>
      </c>
      <c r="B23" s="18" t="s">
        <v>21</v>
      </c>
      <c r="C23" s="19">
        <v>14</v>
      </c>
      <c r="D23" s="20">
        <v>4</v>
      </c>
      <c r="E23" s="21">
        <f t="shared" si="0"/>
        <v>-10</v>
      </c>
      <c r="F23" s="22"/>
    </row>
    <row r="24" spans="1:6" ht="19" x14ac:dyDescent="0.2">
      <c r="A24" s="17">
        <v>14</v>
      </c>
      <c r="B24" s="18" t="s">
        <v>22</v>
      </c>
      <c r="C24" s="19">
        <v>9</v>
      </c>
      <c r="D24" s="20">
        <v>9</v>
      </c>
      <c r="E24" s="21">
        <f t="shared" si="0"/>
        <v>0</v>
      </c>
      <c r="F24" s="22"/>
    </row>
    <row r="25" spans="1:6" ht="19" x14ac:dyDescent="0.2">
      <c r="A25" s="17">
        <v>15</v>
      </c>
      <c r="B25" s="18" t="s">
        <v>23</v>
      </c>
      <c r="C25" s="19">
        <v>0</v>
      </c>
      <c r="D25" s="20"/>
      <c r="E25" s="21">
        <f t="shared" si="0"/>
        <v>0</v>
      </c>
      <c r="F25" s="22"/>
    </row>
    <row r="26" spans="1:6" ht="26" customHeight="1" x14ac:dyDescent="0.2">
      <c r="A26" s="352" t="s">
        <v>24</v>
      </c>
      <c r="B26" s="352"/>
      <c r="C26" s="352"/>
      <c r="D26" s="352"/>
      <c r="E26" s="352"/>
      <c r="F26" s="352"/>
    </row>
    <row r="27" spans="1:6" ht="19" x14ac:dyDescent="0.2">
      <c r="A27" s="17">
        <v>1</v>
      </c>
      <c r="B27" s="24" t="s">
        <v>25</v>
      </c>
      <c r="C27" s="19">
        <v>298</v>
      </c>
      <c r="D27" s="20">
        <v>300</v>
      </c>
      <c r="E27" s="21">
        <f t="shared" ref="E27:E51" si="1">D27-C27</f>
        <v>2</v>
      </c>
      <c r="F27" s="23"/>
    </row>
    <row r="28" spans="1:6" ht="19" x14ac:dyDescent="0.2">
      <c r="A28" s="17">
        <v>2</v>
      </c>
      <c r="B28" s="24" t="s">
        <v>26</v>
      </c>
      <c r="C28" s="19">
        <v>378</v>
      </c>
      <c r="D28" s="20">
        <v>374</v>
      </c>
      <c r="E28" s="21">
        <f t="shared" si="1"/>
        <v>-4</v>
      </c>
      <c r="F28" s="23"/>
    </row>
    <row r="29" spans="1:6" ht="19" x14ac:dyDescent="0.2">
      <c r="A29" s="17">
        <v>3</v>
      </c>
      <c r="B29" s="24" t="s">
        <v>27</v>
      </c>
      <c r="C29" s="19">
        <v>491</v>
      </c>
      <c r="D29" s="20">
        <v>499</v>
      </c>
      <c r="E29" s="21">
        <f t="shared" si="1"/>
        <v>8</v>
      </c>
      <c r="F29" s="23"/>
    </row>
    <row r="30" spans="1:6" ht="19" x14ac:dyDescent="0.2">
      <c r="A30" s="17">
        <v>4</v>
      </c>
      <c r="B30" s="24" t="s">
        <v>28</v>
      </c>
      <c r="C30" s="19">
        <v>2986</v>
      </c>
      <c r="D30" s="20">
        <v>2998</v>
      </c>
      <c r="E30" s="21">
        <f t="shared" si="1"/>
        <v>12</v>
      </c>
      <c r="F30" s="23"/>
    </row>
    <row r="31" spans="1:6" ht="19" x14ac:dyDescent="0.2">
      <c r="A31" s="17">
        <v>5</v>
      </c>
      <c r="B31" s="24" t="s">
        <v>29</v>
      </c>
      <c r="C31" s="19">
        <v>300</v>
      </c>
      <c r="D31" s="25">
        <v>300</v>
      </c>
      <c r="E31" s="21">
        <f t="shared" si="1"/>
        <v>0</v>
      </c>
      <c r="F31" s="22"/>
    </row>
    <row r="32" spans="1:6" ht="19" x14ac:dyDescent="0.2">
      <c r="A32" s="17">
        <v>6</v>
      </c>
      <c r="B32" s="24" t="s">
        <v>30</v>
      </c>
      <c r="C32" s="19">
        <v>2901</v>
      </c>
      <c r="D32" s="20">
        <v>2899</v>
      </c>
      <c r="E32" s="21">
        <f t="shared" si="1"/>
        <v>-2</v>
      </c>
      <c r="F32" s="23"/>
    </row>
    <row r="33" spans="1:6" ht="19" x14ac:dyDescent="0.2">
      <c r="A33" s="17">
        <v>7</v>
      </c>
      <c r="B33" s="24" t="s">
        <v>31</v>
      </c>
      <c r="C33" s="19">
        <v>1668</v>
      </c>
      <c r="D33" s="20">
        <v>1670</v>
      </c>
      <c r="E33" s="21">
        <f t="shared" si="1"/>
        <v>2</v>
      </c>
      <c r="F33" s="22"/>
    </row>
    <row r="34" spans="1:6" ht="19" x14ac:dyDescent="0.2">
      <c r="A34" s="17">
        <v>8</v>
      </c>
      <c r="B34" s="24" t="s">
        <v>32</v>
      </c>
      <c r="C34" s="19">
        <v>1617</v>
      </c>
      <c r="D34" s="20">
        <v>1617</v>
      </c>
      <c r="E34" s="21">
        <f t="shared" si="1"/>
        <v>0</v>
      </c>
      <c r="F34" s="23"/>
    </row>
    <row r="35" spans="1:6" ht="19" x14ac:dyDescent="0.2">
      <c r="A35" s="17">
        <v>9</v>
      </c>
      <c r="B35" s="24" t="s">
        <v>33</v>
      </c>
      <c r="C35" s="19">
        <v>382</v>
      </c>
      <c r="D35" s="20">
        <v>387</v>
      </c>
      <c r="E35" s="21">
        <f t="shared" si="1"/>
        <v>5</v>
      </c>
      <c r="F35" s="22"/>
    </row>
    <row r="36" spans="1:6" ht="19" x14ac:dyDescent="0.2">
      <c r="A36" s="17">
        <v>10</v>
      </c>
      <c r="B36" s="24" t="s">
        <v>34</v>
      </c>
      <c r="C36" s="19">
        <v>0</v>
      </c>
      <c r="D36" s="20">
        <v>0</v>
      </c>
      <c r="E36" s="21">
        <f t="shared" si="1"/>
        <v>0</v>
      </c>
      <c r="F36" s="22"/>
    </row>
    <row r="37" spans="1:6" ht="19" x14ac:dyDescent="0.2">
      <c r="A37" s="17">
        <v>11</v>
      </c>
      <c r="B37" s="24" t="s">
        <v>35</v>
      </c>
      <c r="C37" s="19">
        <v>1054</v>
      </c>
      <c r="D37" s="20">
        <v>1054</v>
      </c>
      <c r="E37" s="21">
        <f t="shared" si="1"/>
        <v>0</v>
      </c>
      <c r="F37" s="22"/>
    </row>
    <row r="38" spans="1:6" ht="19" x14ac:dyDescent="0.2">
      <c r="A38" s="17">
        <v>12</v>
      </c>
      <c r="B38" s="24" t="s">
        <v>36</v>
      </c>
      <c r="C38" s="19">
        <v>1415</v>
      </c>
      <c r="D38" s="25">
        <v>1415</v>
      </c>
      <c r="E38" s="21">
        <f t="shared" si="1"/>
        <v>0</v>
      </c>
      <c r="F38" s="22"/>
    </row>
    <row r="39" spans="1:6" ht="19" x14ac:dyDescent="0.2">
      <c r="A39" s="17">
        <v>13</v>
      </c>
      <c r="B39" s="24" t="s">
        <v>37</v>
      </c>
      <c r="C39" s="19">
        <v>1900</v>
      </c>
      <c r="D39" s="25">
        <v>1900</v>
      </c>
      <c r="E39" s="21">
        <f t="shared" si="1"/>
        <v>0</v>
      </c>
      <c r="F39" s="22"/>
    </row>
    <row r="40" spans="1:6" ht="19" x14ac:dyDescent="0.2">
      <c r="A40" s="17">
        <v>14</v>
      </c>
      <c r="B40" s="24" t="s">
        <v>38</v>
      </c>
      <c r="C40" s="19">
        <v>679</v>
      </c>
      <c r="D40" s="20">
        <v>680</v>
      </c>
      <c r="E40" s="21">
        <f t="shared" si="1"/>
        <v>1</v>
      </c>
      <c r="F40" s="23"/>
    </row>
    <row r="41" spans="1:6" ht="19" x14ac:dyDescent="0.2">
      <c r="A41" s="17">
        <v>15</v>
      </c>
      <c r="B41" s="24" t="s">
        <v>39</v>
      </c>
      <c r="C41" s="19">
        <v>332</v>
      </c>
      <c r="D41" s="20">
        <v>300</v>
      </c>
      <c r="E41" s="21">
        <f t="shared" si="1"/>
        <v>-32</v>
      </c>
      <c r="F41" s="23"/>
    </row>
    <row r="42" spans="1:6" ht="19" x14ac:dyDescent="0.2">
      <c r="A42" s="17">
        <v>16</v>
      </c>
      <c r="B42" s="24" t="s">
        <v>40</v>
      </c>
      <c r="C42" s="19">
        <v>502</v>
      </c>
      <c r="D42" s="20">
        <v>500</v>
      </c>
      <c r="E42" s="21">
        <f t="shared" si="1"/>
        <v>-2</v>
      </c>
      <c r="F42" s="23"/>
    </row>
    <row r="43" spans="1:6" ht="19" x14ac:dyDescent="0.2">
      <c r="A43" s="17">
        <v>17</v>
      </c>
      <c r="B43" s="24" t="s">
        <v>41</v>
      </c>
      <c r="C43" s="19">
        <v>426</v>
      </c>
      <c r="D43" s="20">
        <v>450</v>
      </c>
      <c r="E43" s="21">
        <f t="shared" si="1"/>
        <v>24</v>
      </c>
      <c r="F43" s="23"/>
    </row>
    <row r="44" spans="1:6" ht="19" x14ac:dyDescent="0.2">
      <c r="A44" s="17">
        <v>18</v>
      </c>
      <c r="B44" s="24" t="s">
        <v>42</v>
      </c>
      <c r="C44" s="19">
        <v>613</v>
      </c>
      <c r="D44" s="20">
        <v>600</v>
      </c>
      <c r="E44" s="21">
        <f t="shared" si="1"/>
        <v>-13</v>
      </c>
      <c r="F44" s="22"/>
    </row>
    <row r="45" spans="1:6" ht="19" x14ac:dyDescent="0.2">
      <c r="A45" s="17">
        <v>19</v>
      </c>
      <c r="B45" s="24" t="s">
        <v>43</v>
      </c>
      <c r="C45" s="19">
        <v>1411</v>
      </c>
      <c r="D45" s="20">
        <v>1391</v>
      </c>
      <c r="E45" s="21">
        <f t="shared" si="1"/>
        <v>-20</v>
      </c>
      <c r="F45" s="23"/>
    </row>
    <row r="46" spans="1:6" ht="19" x14ac:dyDescent="0.2">
      <c r="A46" s="17">
        <v>20</v>
      </c>
      <c r="B46" s="24" t="s">
        <v>44</v>
      </c>
      <c r="C46" s="19">
        <v>79</v>
      </c>
      <c r="D46" s="20">
        <v>80</v>
      </c>
      <c r="E46" s="21">
        <f t="shared" si="1"/>
        <v>1</v>
      </c>
      <c r="F46" s="23"/>
    </row>
    <row r="47" spans="1:6" ht="19" x14ac:dyDescent="0.2">
      <c r="A47" s="17">
        <v>21</v>
      </c>
      <c r="B47" s="24" t="s">
        <v>45</v>
      </c>
      <c r="C47" s="19">
        <v>400</v>
      </c>
      <c r="D47" s="20">
        <v>400</v>
      </c>
      <c r="E47" s="21">
        <f t="shared" si="1"/>
        <v>0</v>
      </c>
      <c r="F47" s="22"/>
    </row>
    <row r="48" spans="1:6" ht="19" x14ac:dyDescent="0.2">
      <c r="A48" s="17">
        <v>22</v>
      </c>
      <c r="B48" s="24" t="s">
        <v>46</v>
      </c>
      <c r="C48" s="19">
        <v>544</v>
      </c>
      <c r="D48" s="20">
        <v>544</v>
      </c>
      <c r="E48" s="21">
        <f t="shared" si="1"/>
        <v>0</v>
      </c>
      <c r="F48" s="22"/>
    </row>
    <row r="49" spans="1:6" ht="19" x14ac:dyDescent="0.2">
      <c r="A49" s="17">
        <v>23</v>
      </c>
      <c r="B49" s="24" t="s">
        <v>47</v>
      </c>
      <c r="C49" s="19">
        <v>281</v>
      </c>
      <c r="D49" s="20">
        <v>281</v>
      </c>
      <c r="E49" s="21">
        <f t="shared" si="1"/>
        <v>0</v>
      </c>
      <c r="F49" s="22"/>
    </row>
    <row r="50" spans="1:6" ht="19" x14ac:dyDescent="0.2">
      <c r="A50" s="17">
        <v>24</v>
      </c>
      <c r="B50" s="24" t="s">
        <v>48</v>
      </c>
      <c r="C50" s="19">
        <v>267</v>
      </c>
      <c r="D50" s="20">
        <v>267</v>
      </c>
      <c r="E50" s="21">
        <f t="shared" si="1"/>
        <v>0</v>
      </c>
      <c r="F50" s="22"/>
    </row>
    <row r="51" spans="1:6" ht="19" x14ac:dyDescent="0.2">
      <c r="A51" s="26">
        <v>25</v>
      </c>
      <c r="B51" s="27" t="s">
        <v>49</v>
      </c>
      <c r="C51" s="19">
        <v>500</v>
      </c>
      <c r="D51" s="20">
        <v>500</v>
      </c>
      <c r="E51" s="21">
        <f t="shared" si="1"/>
        <v>0</v>
      </c>
      <c r="F51" s="22"/>
    </row>
    <row r="52" spans="1:6" ht="26" customHeight="1" x14ac:dyDescent="0.2">
      <c r="A52" s="352" t="s">
        <v>50</v>
      </c>
      <c r="B52" s="352"/>
      <c r="C52" s="352"/>
      <c r="D52" s="352"/>
      <c r="E52" s="352"/>
      <c r="F52" s="352"/>
    </row>
    <row r="53" spans="1:6" ht="19" x14ac:dyDescent="0.2">
      <c r="A53" s="17">
        <v>1</v>
      </c>
      <c r="B53" s="24" t="s">
        <v>51</v>
      </c>
      <c r="C53" s="19">
        <v>0</v>
      </c>
      <c r="D53" s="20"/>
      <c r="E53" s="21">
        <f t="shared" ref="E53:E61" si="2">D53-C53</f>
        <v>0</v>
      </c>
      <c r="F53" s="22"/>
    </row>
    <row r="54" spans="1:6" ht="19" x14ac:dyDescent="0.2">
      <c r="A54" s="17">
        <v>2</v>
      </c>
      <c r="B54" s="24" t="s">
        <v>52</v>
      </c>
      <c r="C54" s="19">
        <v>471</v>
      </c>
      <c r="D54" s="20">
        <v>471</v>
      </c>
      <c r="E54" s="21">
        <f t="shared" si="2"/>
        <v>0</v>
      </c>
      <c r="F54" s="22"/>
    </row>
    <row r="55" spans="1:6" ht="19" x14ac:dyDescent="0.2">
      <c r="A55" s="17">
        <v>3</v>
      </c>
      <c r="B55" s="24" t="s">
        <v>53</v>
      </c>
      <c r="C55" s="19">
        <v>408</v>
      </c>
      <c r="D55" s="20">
        <v>408</v>
      </c>
      <c r="E55" s="21">
        <f t="shared" si="2"/>
        <v>0</v>
      </c>
      <c r="F55" s="22"/>
    </row>
    <row r="56" spans="1:6" ht="19" x14ac:dyDescent="0.2">
      <c r="A56" s="17">
        <v>4</v>
      </c>
      <c r="B56" s="24" t="s">
        <v>54</v>
      </c>
      <c r="C56" s="19">
        <v>115</v>
      </c>
      <c r="D56" s="20">
        <v>116</v>
      </c>
      <c r="E56" s="21">
        <f t="shared" si="2"/>
        <v>1</v>
      </c>
      <c r="F56" s="23"/>
    </row>
    <row r="57" spans="1:6" ht="19" x14ac:dyDescent="0.2">
      <c r="A57" s="17">
        <v>5</v>
      </c>
      <c r="B57" s="24" t="s">
        <v>55</v>
      </c>
      <c r="C57" s="19">
        <v>41</v>
      </c>
      <c r="D57" s="20">
        <v>41</v>
      </c>
      <c r="E57" s="21">
        <f t="shared" si="2"/>
        <v>0</v>
      </c>
      <c r="F57" s="23"/>
    </row>
    <row r="58" spans="1:6" ht="19" x14ac:dyDescent="0.2">
      <c r="A58" s="17">
        <v>6</v>
      </c>
      <c r="B58" s="24" t="s">
        <v>56</v>
      </c>
      <c r="C58" s="19">
        <v>770</v>
      </c>
      <c r="D58" s="20">
        <v>772</v>
      </c>
      <c r="E58" s="21">
        <f t="shared" si="2"/>
        <v>2</v>
      </c>
      <c r="F58" s="23"/>
    </row>
    <row r="59" spans="1:6" ht="19" x14ac:dyDescent="0.2">
      <c r="A59" s="17">
        <v>7</v>
      </c>
      <c r="B59" s="24" t="s">
        <v>57</v>
      </c>
      <c r="C59" s="19">
        <v>14</v>
      </c>
      <c r="D59" s="20">
        <v>14</v>
      </c>
      <c r="E59" s="21">
        <f t="shared" si="2"/>
        <v>0</v>
      </c>
      <c r="F59" s="22"/>
    </row>
    <row r="60" spans="1:6" ht="19" x14ac:dyDescent="0.2">
      <c r="A60" s="17">
        <v>8</v>
      </c>
      <c r="B60" s="24" t="s">
        <v>58</v>
      </c>
      <c r="C60" s="19">
        <v>519</v>
      </c>
      <c r="D60" s="20">
        <v>520</v>
      </c>
      <c r="E60" s="21">
        <f t="shared" si="2"/>
        <v>1</v>
      </c>
      <c r="F60" s="22"/>
    </row>
    <row r="61" spans="1:6" ht="19" x14ac:dyDescent="0.2">
      <c r="A61" s="17">
        <v>9</v>
      </c>
      <c r="B61" s="24" t="s">
        <v>59</v>
      </c>
      <c r="C61" s="19">
        <v>1</v>
      </c>
      <c r="D61" s="20">
        <v>1</v>
      </c>
      <c r="E61" s="21">
        <f t="shared" si="2"/>
        <v>0</v>
      </c>
      <c r="F61" s="22"/>
    </row>
    <row r="62" spans="1:6" ht="26" customHeight="1" x14ac:dyDescent="0.2">
      <c r="A62" s="352" t="s">
        <v>60</v>
      </c>
      <c r="B62" s="352"/>
      <c r="C62" s="352"/>
      <c r="D62" s="352"/>
      <c r="E62" s="352"/>
      <c r="F62" s="352"/>
    </row>
    <row r="63" spans="1:6" ht="19" x14ac:dyDescent="0.2">
      <c r="A63" s="17">
        <v>1</v>
      </c>
      <c r="B63" s="24" t="s">
        <v>61</v>
      </c>
      <c r="C63" s="19">
        <v>0</v>
      </c>
      <c r="D63" s="20"/>
      <c r="E63" s="21">
        <f t="shared" ref="E63:E83" si="3">D63-C63</f>
        <v>0</v>
      </c>
      <c r="F63" s="22"/>
    </row>
    <row r="64" spans="1:6" ht="19" x14ac:dyDescent="0.2">
      <c r="A64" s="17">
        <v>2</v>
      </c>
      <c r="B64" s="24" t="s">
        <v>62</v>
      </c>
      <c r="C64" s="19">
        <v>3</v>
      </c>
      <c r="D64" s="20">
        <v>3</v>
      </c>
      <c r="E64" s="21">
        <f t="shared" si="3"/>
        <v>0</v>
      </c>
      <c r="F64" s="22"/>
    </row>
    <row r="65" spans="1:6" ht="19" x14ac:dyDescent="0.2">
      <c r="A65" s="17">
        <v>3</v>
      </c>
      <c r="B65" s="24" t="s">
        <v>63</v>
      </c>
      <c r="C65" s="19">
        <v>7</v>
      </c>
      <c r="D65" s="20">
        <v>7</v>
      </c>
      <c r="E65" s="21">
        <f t="shared" si="3"/>
        <v>0</v>
      </c>
      <c r="F65" s="22"/>
    </row>
    <row r="66" spans="1:6" ht="19" x14ac:dyDescent="0.2">
      <c r="A66" s="17">
        <v>4</v>
      </c>
      <c r="B66" s="24" t="s">
        <v>64</v>
      </c>
      <c r="C66" s="19">
        <v>2</v>
      </c>
      <c r="D66" s="20">
        <v>2</v>
      </c>
      <c r="E66" s="21">
        <f t="shared" si="3"/>
        <v>0</v>
      </c>
      <c r="F66" s="22"/>
    </row>
    <row r="67" spans="1:6" ht="19" x14ac:dyDescent="0.2">
      <c r="A67" s="17">
        <v>5</v>
      </c>
      <c r="B67" s="24" t="s">
        <v>65</v>
      </c>
      <c r="C67" s="19">
        <v>2</v>
      </c>
      <c r="D67" s="20">
        <v>2</v>
      </c>
      <c r="E67" s="21">
        <f t="shared" si="3"/>
        <v>0</v>
      </c>
      <c r="F67" s="22"/>
    </row>
    <row r="68" spans="1:6" ht="19" x14ac:dyDescent="0.2">
      <c r="A68" s="17">
        <v>6</v>
      </c>
      <c r="B68" s="24" t="s">
        <v>66</v>
      </c>
      <c r="C68" s="19">
        <v>0</v>
      </c>
      <c r="D68" s="20">
        <v>0</v>
      </c>
      <c r="E68" s="21">
        <f t="shared" si="3"/>
        <v>0</v>
      </c>
      <c r="F68" s="22"/>
    </row>
    <row r="69" spans="1:6" ht="19" x14ac:dyDescent="0.2">
      <c r="A69" s="17">
        <v>7</v>
      </c>
      <c r="B69" s="24" t="s">
        <v>67</v>
      </c>
      <c r="C69" s="19">
        <v>0</v>
      </c>
      <c r="D69" s="20">
        <v>0</v>
      </c>
      <c r="E69" s="21">
        <f t="shared" si="3"/>
        <v>0</v>
      </c>
      <c r="F69" s="22"/>
    </row>
    <row r="70" spans="1:6" ht="19" x14ac:dyDescent="0.2">
      <c r="A70" s="17">
        <v>8</v>
      </c>
      <c r="B70" s="24" t="s">
        <v>68</v>
      </c>
      <c r="C70" s="19">
        <v>6</v>
      </c>
      <c r="D70" s="20">
        <v>6</v>
      </c>
      <c r="E70" s="21">
        <f t="shared" si="3"/>
        <v>0</v>
      </c>
      <c r="F70" s="22"/>
    </row>
    <row r="71" spans="1:6" ht="19" x14ac:dyDescent="0.2">
      <c r="A71" s="17">
        <v>9</v>
      </c>
      <c r="B71" s="24" t="s">
        <v>69</v>
      </c>
      <c r="C71" s="19">
        <v>32</v>
      </c>
      <c r="D71" s="20">
        <v>32</v>
      </c>
      <c r="E71" s="21">
        <f t="shared" si="3"/>
        <v>0</v>
      </c>
      <c r="F71" s="23"/>
    </row>
    <row r="72" spans="1:6" ht="19" x14ac:dyDescent="0.2">
      <c r="A72" s="17">
        <v>10</v>
      </c>
      <c r="B72" s="24" t="s">
        <v>70</v>
      </c>
      <c r="C72" s="19">
        <v>10</v>
      </c>
      <c r="D72" s="20">
        <v>10</v>
      </c>
      <c r="E72" s="21">
        <f t="shared" si="3"/>
        <v>0</v>
      </c>
      <c r="F72" s="22"/>
    </row>
    <row r="73" spans="1:6" ht="19" x14ac:dyDescent="0.2">
      <c r="A73" s="17">
        <v>11</v>
      </c>
      <c r="B73" s="24" t="s">
        <v>71</v>
      </c>
      <c r="C73" s="19">
        <v>0</v>
      </c>
      <c r="D73" s="20">
        <v>0</v>
      </c>
      <c r="E73" s="21">
        <f t="shared" si="3"/>
        <v>0</v>
      </c>
      <c r="F73" s="22"/>
    </row>
    <row r="74" spans="1:6" ht="19" x14ac:dyDescent="0.2">
      <c r="A74" s="17">
        <v>12</v>
      </c>
      <c r="B74" s="24" t="s">
        <v>72</v>
      </c>
      <c r="C74" s="19">
        <v>0</v>
      </c>
      <c r="D74" s="20">
        <v>0</v>
      </c>
      <c r="E74" s="21">
        <f t="shared" si="3"/>
        <v>0</v>
      </c>
      <c r="F74" s="22"/>
    </row>
    <row r="75" spans="1:6" ht="19" x14ac:dyDescent="0.2">
      <c r="A75" s="17">
        <v>13</v>
      </c>
      <c r="B75" s="24" t="s">
        <v>73</v>
      </c>
      <c r="C75" s="19">
        <v>5</v>
      </c>
      <c r="D75" s="20">
        <v>5</v>
      </c>
      <c r="E75" s="21">
        <f t="shared" si="3"/>
        <v>0</v>
      </c>
      <c r="F75" s="22"/>
    </row>
    <row r="76" spans="1:6" ht="19" x14ac:dyDescent="0.2">
      <c r="A76" s="17">
        <v>14</v>
      </c>
      <c r="B76" s="24" t="s">
        <v>74</v>
      </c>
      <c r="C76" s="19">
        <v>4</v>
      </c>
      <c r="D76" s="20">
        <v>4</v>
      </c>
      <c r="E76" s="21">
        <f t="shared" si="3"/>
        <v>0</v>
      </c>
      <c r="F76" s="22"/>
    </row>
    <row r="77" spans="1:6" ht="19" x14ac:dyDescent="0.2">
      <c r="A77" s="17">
        <v>15</v>
      </c>
      <c r="B77" s="24" t="s">
        <v>75</v>
      </c>
      <c r="C77" s="19">
        <v>22</v>
      </c>
      <c r="D77" s="20">
        <v>22</v>
      </c>
      <c r="E77" s="21">
        <f t="shared" si="3"/>
        <v>0</v>
      </c>
      <c r="F77" s="22"/>
    </row>
    <row r="78" spans="1:6" ht="19" x14ac:dyDescent="0.2">
      <c r="A78" s="17">
        <v>16</v>
      </c>
      <c r="B78" s="24" t="s">
        <v>76</v>
      </c>
      <c r="C78" s="19">
        <v>3</v>
      </c>
      <c r="D78" s="20">
        <v>3</v>
      </c>
      <c r="E78" s="21">
        <f t="shared" si="3"/>
        <v>0</v>
      </c>
      <c r="F78" s="22"/>
    </row>
    <row r="79" spans="1:6" ht="19" x14ac:dyDescent="0.2">
      <c r="A79" s="17">
        <v>17</v>
      </c>
      <c r="B79" s="24" t="s">
        <v>77</v>
      </c>
      <c r="C79" s="19">
        <v>0</v>
      </c>
      <c r="D79" s="20">
        <v>0</v>
      </c>
      <c r="E79" s="21">
        <f t="shared" si="3"/>
        <v>0</v>
      </c>
      <c r="F79" s="22"/>
    </row>
    <row r="80" spans="1:6" ht="19" x14ac:dyDescent="0.2">
      <c r="A80" s="17">
        <v>18</v>
      </c>
      <c r="B80" s="24" t="s">
        <v>78</v>
      </c>
      <c r="C80" s="19">
        <v>0</v>
      </c>
      <c r="D80" s="20">
        <v>0</v>
      </c>
      <c r="E80" s="21">
        <f t="shared" si="3"/>
        <v>0</v>
      </c>
      <c r="F80" s="22"/>
    </row>
    <row r="81" spans="1:6" ht="19" x14ac:dyDescent="0.2">
      <c r="A81" s="17">
        <v>19</v>
      </c>
      <c r="B81" s="24" t="s">
        <v>79</v>
      </c>
      <c r="C81" s="19">
        <v>1</v>
      </c>
      <c r="D81" s="20">
        <v>1</v>
      </c>
      <c r="E81" s="21">
        <f t="shared" si="3"/>
        <v>0</v>
      </c>
      <c r="F81" s="22"/>
    </row>
    <row r="82" spans="1:6" ht="19" x14ac:dyDescent="0.2">
      <c r="A82" s="17">
        <v>20</v>
      </c>
      <c r="B82" s="24" t="s">
        <v>80</v>
      </c>
      <c r="C82" s="19">
        <v>0</v>
      </c>
      <c r="D82" s="20">
        <v>0</v>
      </c>
      <c r="E82" s="21">
        <f t="shared" si="3"/>
        <v>0</v>
      </c>
      <c r="F82" s="22"/>
    </row>
    <row r="83" spans="1:6" ht="19" x14ac:dyDescent="0.2">
      <c r="A83" s="17">
        <v>21</v>
      </c>
      <c r="B83" s="24" t="s">
        <v>81</v>
      </c>
      <c r="C83" s="19">
        <v>0</v>
      </c>
      <c r="D83" s="20">
        <v>0</v>
      </c>
      <c r="E83" s="21">
        <f t="shared" si="3"/>
        <v>0</v>
      </c>
      <c r="F83" s="22"/>
    </row>
    <row r="84" spans="1:6" ht="26" customHeight="1" x14ac:dyDescent="0.2">
      <c r="A84" s="352" t="s">
        <v>82</v>
      </c>
      <c r="B84" s="352"/>
      <c r="C84" s="352"/>
      <c r="D84" s="352"/>
      <c r="E84" s="352"/>
      <c r="F84" s="352"/>
    </row>
    <row r="85" spans="1:6" ht="19" x14ac:dyDescent="0.2">
      <c r="A85" s="17">
        <v>1</v>
      </c>
      <c r="B85" s="24" t="s">
        <v>83</v>
      </c>
      <c r="C85" s="19">
        <v>36</v>
      </c>
      <c r="D85" s="20">
        <v>30</v>
      </c>
      <c r="E85" s="21">
        <f t="shared" ref="E85:E122" si="4">D85-C85</f>
        <v>-6</v>
      </c>
      <c r="F85" s="22"/>
    </row>
    <row r="86" spans="1:6" ht="19" x14ac:dyDescent="0.2">
      <c r="A86" s="17">
        <v>2</v>
      </c>
      <c r="B86" s="24" t="s">
        <v>84</v>
      </c>
      <c r="C86" s="19">
        <v>34</v>
      </c>
      <c r="D86" s="28">
        <v>40</v>
      </c>
      <c r="E86" s="21">
        <f t="shared" si="4"/>
        <v>6</v>
      </c>
      <c r="F86" s="22"/>
    </row>
    <row r="87" spans="1:6" ht="19" x14ac:dyDescent="0.2">
      <c r="A87" s="17">
        <v>3</v>
      </c>
      <c r="B87" s="24" t="s">
        <v>85</v>
      </c>
      <c r="C87" s="19">
        <v>12</v>
      </c>
      <c r="D87" s="20">
        <v>12</v>
      </c>
      <c r="E87" s="21">
        <f t="shared" si="4"/>
        <v>0</v>
      </c>
      <c r="F87" s="22"/>
    </row>
    <row r="88" spans="1:6" ht="19" x14ac:dyDescent="0.2">
      <c r="A88" s="17">
        <v>4</v>
      </c>
      <c r="B88" s="24" t="s">
        <v>86</v>
      </c>
      <c r="C88" s="19">
        <v>26</v>
      </c>
      <c r="D88" s="20">
        <v>26</v>
      </c>
      <c r="E88" s="21">
        <f t="shared" si="4"/>
        <v>0</v>
      </c>
      <c r="F88" s="22"/>
    </row>
    <row r="89" spans="1:6" ht="19" x14ac:dyDescent="0.2">
      <c r="A89" s="17">
        <v>5</v>
      </c>
      <c r="B89" s="24" t="s">
        <v>87</v>
      </c>
      <c r="C89" s="19">
        <v>44</v>
      </c>
      <c r="D89" s="29">
        <v>43</v>
      </c>
      <c r="E89" s="21">
        <f t="shared" si="4"/>
        <v>-1</v>
      </c>
      <c r="F89" s="22"/>
    </row>
    <row r="90" spans="1:6" ht="19" x14ac:dyDescent="0.2">
      <c r="A90" s="17">
        <v>6</v>
      </c>
      <c r="B90" s="24" t="s">
        <v>88</v>
      </c>
      <c r="C90" s="19">
        <v>57</v>
      </c>
      <c r="D90" s="20">
        <v>57</v>
      </c>
      <c r="E90" s="21">
        <f t="shared" si="4"/>
        <v>0</v>
      </c>
      <c r="F90" s="22"/>
    </row>
    <row r="91" spans="1:6" ht="19" x14ac:dyDescent="0.2">
      <c r="A91" s="17">
        <v>7</v>
      </c>
      <c r="B91" s="24" t="s">
        <v>89</v>
      </c>
      <c r="C91" s="19">
        <v>11</v>
      </c>
      <c r="D91" s="20">
        <v>11</v>
      </c>
      <c r="E91" s="21">
        <f t="shared" si="4"/>
        <v>0</v>
      </c>
      <c r="F91" s="22"/>
    </row>
    <row r="92" spans="1:6" ht="19" x14ac:dyDescent="0.2">
      <c r="A92" s="17">
        <v>8</v>
      </c>
      <c r="B92" s="24" t="s">
        <v>90</v>
      </c>
      <c r="C92" s="19">
        <v>17</v>
      </c>
      <c r="D92" s="20">
        <v>17</v>
      </c>
      <c r="E92" s="21">
        <f t="shared" si="4"/>
        <v>0</v>
      </c>
      <c r="F92" s="22"/>
    </row>
    <row r="93" spans="1:6" ht="19" x14ac:dyDescent="0.2">
      <c r="A93" s="17">
        <v>9</v>
      </c>
      <c r="B93" s="24" t="s">
        <v>91</v>
      </c>
      <c r="C93" s="19">
        <v>18</v>
      </c>
      <c r="D93" s="20">
        <v>18</v>
      </c>
      <c r="E93" s="21">
        <f t="shared" si="4"/>
        <v>0</v>
      </c>
      <c r="F93" s="22"/>
    </row>
    <row r="94" spans="1:6" ht="19" x14ac:dyDescent="0.2">
      <c r="A94" s="17">
        <v>10</v>
      </c>
      <c r="B94" s="24" t="s">
        <v>92</v>
      </c>
      <c r="C94" s="19">
        <v>52</v>
      </c>
      <c r="D94" s="20">
        <v>52</v>
      </c>
      <c r="E94" s="21">
        <f t="shared" si="4"/>
        <v>0</v>
      </c>
      <c r="F94" s="22"/>
    </row>
    <row r="95" spans="1:6" ht="19" x14ac:dyDescent="0.2">
      <c r="A95" s="17">
        <v>11</v>
      </c>
      <c r="B95" s="24" t="s">
        <v>93</v>
      </c>
      <c r="C95" s="19">
        <v>92</v>
      </c>
      <c r="D95" s="20">
        <v>92</v>
      </c>
      <c r="E95" s="21">
        <f t="shared" si="4"/>
        <v>0</v>
      </c>
      <c r="F95" s="22"/>
    </row>
    <row r="96" spans="1:6" ht="19" x14ac:dyDescent="0.2">
      <c r="A96" s="17">
        <v>12</v>
      </c>
      <c r="B96" s="24" t="s">
        <v>94</v>
      </c>
      <c r="C96" s="19">
        <v>44</v>
      </c>
      <c r="D96" s="20">
        <v>44</v>
      </c>
      <c r="E96" s="21">
        <f t="shared" si="4"/>
        <v>0</v>
      </c>
      <c r="F96" s="22"/>
    </row>
    <row r="97" spans="1:6" ht="19" x14ac:dyDescent="0.2">
      <c r="A97" s="17">
        <v>13</v>
      </c>
      <c r="B97" s="24" t="s">
        <v>95</v>
      </c>
      <c r="C97" s="19">
        <v>19</v>
      </c>
      <c r="D97" s="20">
        <v>19</v>
      </c>
      <c r="E97" s="21">
        <f t="shared" si="4"/>
        <v>0</v>
      </c>
      <c r="F97" s="22"/>
    </row>
    <row r="98" spans="1:6" ht="19" x14ac:dyDescent="0.2">
      <c r="A98" s="17">
        <v>14</v>
      </c>
      <c r="B98" s="24" t="s">
        <v>96</v>
      </c>
      <c r="C98" s="19">
        <v>58</v>
      </c>
      <c r="D98" s="20">
        <v>58</v>
      </c>
      <c r="E98" s="21">
        <f t="shared" si="4"/>
        <v>0</v>
      </c>
      <c r="F98" s="22"/>
    </row>
    <row r="99" spans="1:6" ht="19" x14ac:dyDescent="0.2">
      <c r="A99" s="17">
        <v>15</v>
      </c>
      <c r="B99" s="24" t="s">
        <v>97</v>
      </c>
      <c r="C99" s="19">
        <v>11</v>
      </c>
      <c r="D99" s="20">
        <v>11</v>
      </c>
      <c r="E99" s="21">
        <f t="shared" si="4"/>
        <v>0</v>
      </c>
      <c r="F99" s="22"/>
    </row>
    <row r="100" spans="1:6" ht="19" x14ac:dyDescent="0.2">
      <c r="A100" s="17">
        <v>16</v>
      </c>
      <c r="B100" s="24" t="s">
        <v>98</v>
      </c>
      <c r="C100" s="19">
        <v>80</v>
      </c>
      <c r="D100" s="20">
        <v>80</v>
      </c>
      <c r="E100" s="21">
        <f t="shared" si="4"/>
        <v>0</v>
      </c>
      <c r="F100" s="22"/>
    </row>
    <row r="101" spans="1:6" ht="19" x14ac:dyDescent="0.2">
      <c r="A101" s="17">
        <v>17</v>
      </c>
      <c r="B101" s="24" t="s">
        <v>99</v>
      </c>
      <c r="C101" s="19">
        <v>120</v>
      </c>
      <c r="D101" s="20">
        <v>120</v>
      </c>
      <c r="E101" s="21">
        <f t="shared" si="4"/>
        <v>0</v>
      </c>
      <c r="F101" s="22"/>
    </row>
    <row r="102" spans="1:6" ht="19" x14ac:dyDescent="0.2">
      <c r="A102" s="17">
        <v>18</v>
      </c>
      <c r="B102" s="24" t="s">
        <v>100</v>
      </c>
      <c r="C102" s="19">
        <v>62</v>
      </c>
      <c r="D102" s="20">
        <v>62</v>
      </c>
      <c r="E102" s="21">
        <f t="shared" si="4"/>
        <v>0</v>
      </c>
      <c r="F102" s="22"/>
    </row>
    <row r="103" spans="1:6" ht="40" x14ac:dyDescent="0.2">
      <c r="A103" s="17">
        <v>19</v>
      </c>
      <c r="B103" s="30" t="s">
        <v>101</v>
      </c>
      <c r="C103" s="19">
        <v>51</v>
      </c>
      <c r="D103" s="20">
        <v>51</v>
      </c>
      <c r="E103" s="21">
        <f t="shared" si="4"/>
        <v>0</v>
      </c>
      <c r="F103" s="22"/>
    </row>
    <row r="104" spans="1:6" ht="19" x14ac:dyDescent="0.2">
      <c r="A104" s="17">
        <v>20</v>
      </c>
      <c r="B104" s="24" t="s">
        <v>102</v>
      </c>
      <c r="C104" s="19">
        <v>144</v>
      </c>
      <c r="D104" s="20">
        <v>144</v>
      </c>
      <c r="E104" s="21">
        <f t="shared" si="4"/>
        <v>0</v>
      </c>
      <c r="F104" s="22"/>
    </row>
    <row r="105" spans="1:6" ht="19" x14ac:dyDescent="0.2">
      <c r="A105" s="17">
        <v>21</v>
      </c>
      <c r="B105" s="24" t="s">
        <v>103</v>
      </c>
      <c r="C105" s="19">
        <v>49</v>
      </c>
      <c r="D105" s="20">
        <v>49</v>
      </c>
      <c r="E105" s="21">
        <f t="shared" si="4"/>
        <v>0</v>
      </c>
      <c r="F105" s="22"/>
    </row>
    <row r="106" spans="1:6" ht="19" x14ac:dyDescent="0.2">
      <c r="A106" s="17">
        <v>22</v>
      </c>
      <c r="B106" s="24" t="s">
        <v>104</v>
      </c>
      <c r="C106" s="19">
        <v>24</v>
      </c>
      <c r="D106" s="20">
        <v>24</v>
      </c>
      <c r="E106" s="21">
        <f t="shared" si="4"/>
        <v>0</v>
      </c>
      <c r="F106" s="22"/>
    </row>
    <row r="107" spans="1:6" ht="19" x14ac:dyDescent="0.2">
      <c r="A107" s="17">
        <v>23</v>
      </c>
      <c r="B107" s="24" t="s">
        <v>105</v>
      </c>
      <c r="C107" s="19">
        <v>69</v>
      </c>
      <c r="D107" s="20">
        <v>69</v>
      </c>
      <c r="E107" s="21">
        <f t="shared" si="4"/>
        <v>0</v>
      </c>
      <c r="F107" s="22"/>
    </row>
    <row r="108" spans="1:6" ht="19" x14ac:dyDescent="0.2">
      <c r="A108" s="17">
        <v>24</v>
      </c>
      <c r="B108" s="24" t="s">
        <v>106</v>
      </c>
      <c r="C108" s="19">
        <v>88</v>
      </c>
      <c r="D108" s="20">
        <v>88</v>
      </c>
      <c r="E108" s="21">
        <f t="shared" si="4"/>
        <v>0</v>
      </c>
      <c r="F108" s="22"/>
    </row>
    <row r="109" spans="1:6" ht="19" x14ac:dyDescent="0.2">
      <c r="A109" s="17">
        <v>25</v>
      </c>
      <c r="B109" s="24" t="s">
        <v>107</v>
      </c>
      <c r="C109" s="19">
        <v>29</v>
      </c>
      <c r="D109" s="20">
        <v>29</v>
      </c>
      <c r="E109" s="21">
        <f t="shared" si="4"/>
        <v>0</v>
      </c>
      <c r="F109" s="22"/>
    </row>
    <row r="110" spans="1:6" ht="19" x14ac:dyDescent="0.2">
      <c r="A110" s="17">
        <v>26</v>
      </c>
      <c r="B110" s="24" t="s">
        <v>108</v>
      </c>
      <c r="C110" s="19">
        <v>21</v>
      </c>
      <c r="D110" s="20">
        <v>21</v>
      </c>
      <c r="E110" s="21">
        <f t="shared" si="4"/>
        <v>0</v>
      </c>
      <c r="F110" s="22"/>
    </row>
    <row r="111" spans="1:6" ht="19" x14ac:dyDescent="0.2">
      <c r="A111" s="17">
        <v>27</v>
      </c>
      <c r="B111" s="24" t="s">
        <v>69</v>
      </c>
      <c r="C111" s="19">
        <v>13</v>
      </c>
      <c r="D111" s="20">
        <v>30</v>
      </c>
      <c r="E111" s="21">
        <f t="shared" si="4"/>
        <v>17</v>
      </c>
      <c r="F111" s="22"/>
    </row>
    <row r="112" spans="1:6" ht="19" x14ac:dyDescent="0.2">
      <c r="A112" s="17">
        <v>28</v>
      </c>
      <c r="B112" s="24" t="s">
        <v>109</v>
      </c>
      <c r="C112" s="19">
        <v>52</v>
      </c>
      <c r="D112" s="20">
        <v>52</v>
      </c>
      <c r="E112" s="21">
        <f t="shared" si="4"/>
        <v>0</v>
      </c>
      <c r="F112" s="22"/>
    </row>
    <row r="113" spans="1:6" ht="19" x14ac:dyDescent="0.2">
      <c r="A113" s="17">
        <v>29</v>
      </c>
      <c r="B113" s="24" t="s">
        <v>110</v>
      </c>
      <c r="C113" s="19">
        <v>14</v>
      </c>
      <c r="D113" s="20">
        <v>16</v>
      </c>
      <c r="E113" s="21">
        <f t="shared" si="4"/>
        <v>2</v>
      </c>
      <c r="F113" s="22"/>
    </row>
    <row r="114" spans="1:6" ht="19" x14ac:dyDescent="0.2">
      <c r="A114" s="17">
        <v>30</v>
      </c>
      <c r="B114" s="24" t="s">
        <v>111</v>
      </c>
      <c r="C114" s="19">
        <v>13</v>
      </c>
      <c r="D114" s="20">
        <v>13</v>
      </c>
      <c r="E114" s="21">
        <f t="shared" si="4"/>
        <v>0</v>
      </c>
      <c r="F114" s="22"/>
    </row>
    <row r="115" spans="1:6" ht="19" x14ac:dyDescent="0.2">
      <c r="A115" s="17">
        <v>31</v>
      </c>
      <c r="B115" s="24" t="s">
        <v>112</v>
      </c>
      <c r="C115" s="19">
        <v>9</v>
      </c>
      <c r="D115" s="20">
        <v>9</v>
      </c>
      <c r="E115" s="21">
        <f t="shared" si="4"/>
        <v>0</v>
      </c>
      <c r="F115" s="22"/>
    </row>
    <row r="116" spans="1:6" ht="19" x14ac:dyDescent="0.2">
      <c r="A116" s="17">
        <v>32</v>
      </c>
      <c r="B116" s="24" t="s">
        <v>113</v>
      </c>
      <c r="C116" s="19">
        <v>43</v>
      </c>
      <c r="D116" s="20">
        <v>43</v>
      </c>
      <c r="E116" s="21">
        <f t="shared" si="4"/>
        <v>0</v>
      </c>
      <c r="F116" s="22"/>
    </row>
    <row r="117" spans="1:6" ht="19" x14ac:dyDescent="0.2">
      <c r="A117" s="17">
        <v>33</v>
      </c>
      <c r="B117" s="24" t="s">
        <v>114</v>
      </c>
      <c r="C117" s="19">
        <v>55</v>
      </c>
      <c r="D117" s="20">
        <v>55</v>
      </c>
      <c r="E117" s="21">
        <f t="shared" si="4"/>
        <v>0</v>
      </c>
      <c r="F117" s="22"/>
    </row>
    <row r="118" spans="1:6" ht="19" x14ac:dyDescent="0.2">
      <c r="A118" s="17">
        <v>34</v>
      </c>
      <c r="B118" s="24" t="s">
        <v>115</v>
      </c>
      <c r="C118" s="19">
        <v>0</v>
      </c>
      <c r="D118" s="20">
        <v>0</v>
      </c>
      <c r="E118" s="21">
        <f t="shared" si="4"/>
        <v>0</v>
      </c>
      <c r="F118" s="22"/>
    </row>
    <row r="119" spans="1:6" ht="19" x14ac:dyDescent="0.2">
      <c r="A119" s="17">
        <v>35</v>
      </c>
      <c r="B119" s="24" t="s">
        <v>116</v>
      </c>
      <c r="C119" s="19">
        <v>32</v>
      </c>
      <c r="D119" s="20">
        <v>32</v>
      </c>
      <c r="E119" s="21">
        <f t="shared" si="4"/>
        <v>0</v>
      </c>
      <c r="F119" s="22"/>
    </row>
    <row r="120" spans="1:6" ht="19" x14ac:dyDescent="0.2">
      <c r="A120" s="17">
        <v>36</v>
      </c>
      <c r="B120" s="24" t="s">
        <v>117</v>
      </c>
      <c r="C120" s="19">
        <v>25</v>
      </c>
      <c r="D120" s="20">
        <v>25</v>
      </c>
      <c r="E120" s="21">
        <f t="shared" si="4"/>
        <v>0</v>
      </c>
      <c r="F120" s="22"/>
    </row>
    <row r="121" spans="1:6" ht="19" x14ac:dyDescent="0.2">
      <c r="A121" s="17">
        <v>37</v>
      </c>
      <c r="B121" s="24" t="s">
        <v>118</v>
      </c>
      <c r="C121" s="19">
        <v>5</v>
      </c>
      <c r="D121" s="20">
        <v>5</v>
      </c>
      <c r="E121" s="21">
        <f t="shared" si="4"/>
        <v>0</v>
      </c>
      <c r="F121" s="22"/>
    </row>
    <row r="122" spans="1:6" ht="19" x14ac:dyDescent="0.2">
      <c r="A122" s="31">
        <v>38</v>
      </c>
      <c r="B122" s="27" t="s">
        <v>119</v>
      </c>
      <c r="C122" s="19">
        <v>30</v>
      </c>
      <c r="D122" s="20">
        <v>30</v>
      </c>
      <c r="E122" s="21">
        <f t="shared" si="4"/>
        <v>0</v>
      </c>
      <c r="F122" s="22"/>
    </row>
    <row r="123" spans="1:6" ht="26" customHeight="1" x14ac:dyDescent="0.2">
      <c r="A123" s="352" t="s">
        <v>120</v>
      </c>
      <c r="B123" s="352"/>
      <c r="C123" s="352"/>
      <c r="D123" s="352"/>
      <c r="E123" s="352"/>
      <c r="F123" s="352"/>
    </row>
    <row r="124" spans="1:6" ht="40" x14ac:dyDescent="0.2">
      <c r="A124" s="17">
        <v>1</v>
      </c>
      <c r="B124" s="24" t="s">
        <v>121</v>
      </c>
      <c r="C124" s="19">
        <v>3</v>
      </c>
      <c r="D124" s="20">
        <v>2</v>
      </c>
      <c r="E124" s="21">
        <f>D124-C124</f>
        <v>-1</v>
      </c>
      <c r="F124" s="23" t="s">
        <v>122</v>
      </c>
    </row>
    <row r="125" spans="1:6" ht="40" x14ac:dyDescent="0.2">
      <c r="A125" s="17">
        <v>2</v>
      </c>
      <c r="B125" s="24" t="s">
        <v>123</v>
      </c>
      <c r="C125" s="19">
        <v>1</v>
      </c>
      <c r="D125" s="20">
        <v>9</v>
      </c>
      <c r="E125" s="21">
        <f>D125-C125</f>
        <v>8</v>
      </c>
      <c r="F125" s="23" t="s">
        <v>122</v>
      </c>
    </row>
    <row r="126" spans="1:6" ht="26" customHeight="1" x14ac:dyDescent="0.2">
      <c r="A126" s="352" t="s">
        <v>124</v>
      </c>
      <c r="B126" s="352"/>
      <c r="C126" s="352"/>
      <c r="D126" s="352"/>
      <c r="E126" s="352"/>
      <c r="F126" s="352"/>
    </row>
    <row r="127" spans="1:6" ht="19" x14ac:dyDescent="0.2">
      <c r="A127" s="32">
        <v>1</v>
      </c>
      <c r="B127" s="33" t="s">
        <v>125</v>
      </c>
      <c r="C127" s="19">
        <v>14</v>
      </c>
      <c r="D127" s="34">
        <v>14</v>
      </c>
      <c r="E127" s="21">
        <f t="shared" ref="E127:E158" si="5">D127-C127</f>
        <v>0</v>
      </c>
      <c r="F127" s="22"/>
    </row>
    <row r="128" spans="1:6" ht="19" x14ac:dyDescent="0.2">
      <c r="A128" s="32">
        <v>2</v>
      </c>
      <c r="B128" s="33" t="s">
        <v>126</v>
      </c>
      <c r="C128" s="19">
        <v>25</v>
      </c>
      <c r="D128" s="34">
        <v>25</v>
      </c>
      <c r="E128" s="21">
        <f t="shared" si="5"/>
        <v>0</v>
      </c>
      <c r="F128" s="22"/>
    </row>
    <row r="129" spans="1:6" ht="19" x14ac:dyDescent="0.2">
      <c r="A129" s="32">
        <v>3</v>
      </c>
      <c r="B129" s="33" t="s">
        <v>127</v>
      </c>
      <c r="C129" s="19">
        <v>22</v>
      </c>
      <c r="D129" s="34">
        <v>22</v>
      </c>
      <c r="E129" s="21">
        <f t="shared" si="5"/>
        <v>0</v>
      </c>
      <c r="F129" s="22"/>
    </row>
    <row r="130" spans="1:6" ht="19" x14ac:dyDescent="0.2">
      <c r="A130" s="32">
        <v>4</v>
      </c>
      <c r="B130" s="33" t="s">
        <v>128</v>
      </c>
      <c r="C130" s="19">
        <v>29</v>
      </c>
      <c r="D130" s="34">
        <v>29</v>
      </c>
      <c r="E130" s="21">
        <f t="shared" si="5"/>
        <v>0</v>
      </c>
      <c r="F130" s="22"/>
    </row>
    <row r="131" spans="1:6" ht="19" x14ac:dyDescent="0.2">
      <c r="A131" s="32">
        <v>5</v>
      </c>
      <c r="B131" s="33" t="s">
        <v>129</v>
      </c>
      <c r="C131" s="19">
        <v>17</v>
      </c>
      <c r="D131" s="34">
        <v>17</v>
      </c>
      <c r="E131" s="21">
        <f t="shared" si="5"/>
        <v>0</v>
      </c>
      <c r="F131" s="22"/>
    </row>
    <row r="132" spans="1:6" ht="19" x14ac:dyDescent="0.2">
      <c r="A132" s="32">
        <v>6</v>
      </c>
      <c r="B132" s="33" t="s">
        <v>130</v>
      </c>
      <c r="C132" s="19">
        <v>29</v>
      </c>
      <c r="D132" s="34">
        <v>29</v>
      </c>
      <c r="E132" s="21">
        <f t="shared" si="5"/>
        <v>0</v>
      </c>
      <c r="F132" s="22"/>
    </row>
    <row r="133" spans="1:6" ht="19" x14ac:dyDescent="0.2">
      <c r="A133" s="32">
        <v>7</v>
      </c>
      <c r="B133" s="33" t="s">
        <v>131</v>
      </c>
      <c r="C133" s="19">
        <v>43</v>
      </c>
      <c r="D133" s="34">
        <v>43</v>
      </c>
      <c r="E133" s="21">
        <f t="shared" si="5"/>
        <v>0</v>
      </c>
      <c r="F133" s="22"/>
    </row>
    <row r="134" spans="1:6" ht="19" x14ac:dyDescent="0.2">
      <c r="A134" s="32">
        <v>8</v>
      </c>
      <c r="B134" s="33" t="s">
        <v>132</v>
      </c>
      <c r="C134" s="19">
        <v>60</v>
      </c>
      <c r="D134" s="34">
        <v>60</v>
      </c>
      <c r="E134" s="21">
        <f t="shared" si="5"/>
        <v>0</v>
      </c>
      <c r="F134" s="22"/>
    </row>
    <row r="135" spans="1:6" ht="19" x14ac:dyDescent="0.2">
      <c r="A135" s="32">
        <v>9</v>
      </c>
      <c r="B135" s="33" t="s">
        <v>133</v>
      </c>
      <c r="C135" s="19">
        <v>62</v>
      </c>
      <c r="D135" s="34">
        <v>62</v>
      </c>
      <c r="E135" s="21">
        <f t="shared" si="5"/>
        <v>0</v>
      </c>
      <c r="F135" s="22"/>
    </row>
    <row r="136" spans="1:6" ht="19" x14ac:dyDescent="0.2">
      <c r="A136" s="32">
        <v>10</v>
      </c>
      <c r="B136" s="33" t="s">
        <v>134</v>
      </c>
      <c r="C136" s="19">
        <v>53</v>
      </c>
      <c r="D136" s="34">
        <v>53</v>
      </c>
      <c r="E136" s="21">
        <f t="shared" si="5"/>
        <v>0</v>
      </c>
      <c r="F136" s="23"/>
    </row>
    <row r="137" spans="1:6" ht="19" x14ac:dyDescent="0.2">
      <c r="A137" s="32">
        <v>11</v>
      </c>
      <c r="B137" s="33" t="s">
        <v>135</v>
      </c>
      <c r="C137" s="19">
        <v>17</v>
      </c>
      <c r="D137" s="34">
        <v>17</v>
      </c>
      <c r="E137" s="21">
        <f t="shared" si="5"/>
        <v>0</v>
      </c>
      <c r="F137" s="22"/>
    </row>
    <row r="138" spans="1:6" ht="19" x14ac:dyDescent="0.2">
      <c r="A138" s="32">
        <v>12</v>
      </c>
      <c r="B138" s="33" t="s">
        <v>136</v>
      </c>
      <c r="C138" s="19">
        <v>13</v>
      </c>
      <c r="D138" s="34">
        <v>13</v>
      </c>
      <c r="E138" s="21">
        <f t="shared" si="5"/>
        <v>0</v>
      </c>
      <c r="F138" s="22"/>
    </row>
    <row r="139" spans="1:6" ht="19" x14ac:dyDescent="0.2">
      <c r="A139" s="32">
        <v>13</v>
      </c>
      <c r="B139" s="33" t="s">
        <v>137</v>
      </c>
      <c r="C139" s="19">
        <v>14</v>
      </c>
      <c r="D139" s="34">
        <v>14</v>
      </c>
      <c r="E139" s="21">
        <f t="shared" si="5"/>
        <v>0</v>
      </c>
      <c r="F139" s="22"/>
    </row>
    <row r="140" spans="1:6" ht="19" x14ac:dyDescent="0.2">
      <c r="A140" s="32">
        <v>14</v>
      </c>
      <c r="B140" s="33" t="s">
        <v>138</v>
      </c>
      <c r="C140" s="19">
        <v>13</v>
      </c>
      <c r="D140" s="34">
        <v>13</v>
      </c>
      <c r="E140" s="21">
        <f t="shared" si="5"/>
        <v>0</v>
      </c>
      <c r="F140" s="22"/>
    </row>
    <row r="141" spans="1:6" ht="19" x14ac:dyDescent="0.2">
      <c r="A141" s="32">
        <v>15</v>
      </c>
      <c r="B141" s="33" t="s">
        <v>139</v>
      </c>
      <c r="C141" s="19">
        <v>18</v>
      </c>
      <c r="D141" s="34">
        <v>18</v>
      </c>
      <c r="E141" s="21">
        <f t="shared" si="5"/>
        <v>0</v>
      </c>
      <c r="F141" s="22"/>
    </row>
    <row r="142" spans="1:6" ht="19" x14ac:dyDescent="0.2">
      <c r="A142" s="32">
        <v>16</v>
      </c>
      <c r="B142" s="33" t="s">
        <v>140</v>
      </c>
      <c r="C142" s="19">
        <v>10</v>
      </c>
      <c r="D142" s="34">
        <v>10</v>
      </c>
      <c r="E142" s="21">
        <f t="shared" si="5"/>
        <v>0</v>
      </c>
      <c r="F142" s="22"/>
    </row>
    <row r="143" spans="1:6" ht="19" x14ac:dyDescent="0.2">
      <c r="A143" s="32">
        <v>17</v>
      </c>
      <c r="B143" s="33" t="s">
        <v>141</v>
      </c>
      <c r="C143" s="19">
        <v>9</v>
      </c>
      <c r="D143" s="34">
        <v>9</v>
      </c>
      <c r="E143" s="21">
        <f t="shared" si="5"/>
        <v>0</v>
      </c>
      <c r="F143" s="22"/>
    </row>
    <row r="144" spans="1:6" ht="19" x14ac:dyDescent="0.2">
      <c r="A144" s="32">
        <v>18</v>
      </c>
      <c r="B144" s="33" t="s">
        <v>142</v>
      </c>
      <c r="C144" s="19">
        <v>3</v>
      </c>
      <c r="D144" s="34">
        <v>3</v>
      </c>
      <c r="E144" s="21">
        <f t="shared" si="5"/>
        <v>0</v>
      </c>
      <c r="F144" s="22"/>
    </row>
    <row r="145" spans="1:6" ht="19" x14ac:dyDescent="0.2">
      <c r="A145" s="32">
        <v>19</v>
      </c>
      <c r="B145" s="33" t="s">
        <v>143</v>
      </c>
      <c r="C145" s="19">
        <v>0</v>
      </c>
      <c r="D145" s="34">
        <v>0</v>
      </c>
      <c r="E145" s="21">
        <f t="shared" si="5"/>
        <v>0</v>
      </c>
      <c r="F145" s="22"/>
    </row>
    <row r="146" spans="1:6" ht="19" x14ac:dyDescent="0.2">
      <c r="A146" s="32">
        <v>20</v>
      </c>
      <c r="B146" s="33" t="s">
        <v>144</v>
      </c>
      <c r="C146" s="19">
        <v>5</v>
      </c>
      <c r="D146" s="34">
        <v>5</v>
      </c>
      <c r="E146" s="21">
        <f t="shared" si="5"/>
        <v>0</v>
      </c>
      <c r="F146" s="22"/>
    </row>
    <row r="147" spans="1:6" ht="19" x14ac:dyDescent="0.2">
      <c r="A147" s="32">
        <v>21</v>
      </c>
      <c r="B147" s="33" t="s">
        <v>145</v>
      </c>
      <c r="C147" s="19">
        <v>4</v>
      </c>
      <c r="D147" s="34">
        <v>4</v>
      </c>
      <c r="E147" s="21">
        <f t="shared" si="5"/>
        <v>0</v>
      </c>
      <c r="F147" s="22"/>
    </row>
    <row r="148" spans="1:6" ht="19" x14ac:dyDescent="0.2">
      <c r="A148" s="32">
        <v>22</v>
      </c>
      <c r="B148" s="33" t="s">
        <v>146</v>
      </c>
      <c r="C148" s="19">
        <v>4</v>
      </c>
      <c r="D148" s="34">
        <v>4</v>
      </c>
      <c r="E148" s="21">
        <f t="shared" si="5"/>
        <v>0</v>
      </c>
      <c r="F148" s="22"/>
    </row>
    <row r="149" spans="1:6" ht="19" x14ac:dyDescent="0.2">
      <c r="A149" s="32">
        <v>23</v>
      </c>
      <c r="B149" s="33" t="s">
        <v>147</v>
      </c>
      <c r="C149" s="19">
        <v>8</v>
      </c>
      <c r="D149" s="34">
        <v>8</v>
      </c>
      <c r="E149" s="21">
        <f t="shared" si="5"/>
        <v>0</v>
      </c>
      <c r="F149" s="22"/>
    </row>
    <row r="150" spans="1:6" ht="19" x14ac:dyDescent="0.2">
      <c r="A150" s="32">
        <v>24</v>
      </c>
      <c r="B150" s="33" t="s">
        <v>148</v>
      </c>
      <c r="C150" s="19">
        <v>5</v>
      </c>
      <c r="D150" s="34">
        <v>5</v>
      </c>
      <c r="E150" s="21">
        <f t="shared" si="5"/>
        <v>0</v>
      </c>
      <c r="F150" s="22"/>
    </row>
    <row r="151" spans="1:6" ht="19" x14ac:dyDescent="0.2">
      <c r="A151" s="32">
        <v>25</v>
      </c>
      <c r="B151" s="33" t="s">
        <v>149</v>
      </c>
      <c r="C151" s="19">
        <v>5</v>
      </c>
      <c r="D151" s="34">
        <v>5</v>
      </c>
      <c r="E151" s="21">
        <f t="shared" si="5"/>
        <v>0</v>
      </c>
      <c r="F151" s="22"/>
    </row>
    <row r="152" spans="1:6" ht="19" x14ac:dyDescent="0.2">
      <c r="A152" s="32">
        <v>26</v>
      </c>
      <c r="B152" s="33" t="s">
        <v>150</v>
      </c>
      <c r="C152" s="19">
        <v>2</v>
      </c>
      <c r="D152" s="34">
        <v>2</v>
      </c>
      <c r="E152" s="21">
        <f t="shared" si="5"/>
        <v>0</v>
      </c>
      <c r="F152" s="22"/>
    </row>
    <row r="153" spans="1:6" ht="19" x14ac:dyDescent="0.2">
      <c r="A153" s="32">
        <v>27</v>
      </c>
      <c r="B153" s="33" t="s">
        <v>151</v>
      </c>
      <c r="C153" s="19">
        <v>4</v>
      </c>
      <c r="D153" s="34">
        <v>4</v>
      </c>
      <c r="E153" s="21">
        <f t="shared" si="5"/>
        <v>0</v>
      </c>
      <c r="F153" s="22"/>
    </row>
    <row r="154" spans="1:6" ht="19" x14ac:dyDescent="0.2">
      <c r="A154" s="32">
        <v>28</v>
      </c>
      <c r="B154" s="33" t="s">
        <v>152</v>
      </c>
      <c r="C154" s="19">
        <v>3</v>
      </c>
      <c r="D154" s="34">
        <v>3</v>
      </c>
      <c r="E154" s="21">
        <f t="shared" si="5"/>
        <v>0</v>
      </c>
      <c r="F154" s="22"/>
    </row>
    <row r="155" spans="1:6" ht="19" x14ac:dyDescent="0.2">
      <c r="A155" s="32">
        <v>29</v>
      </c>
      <c r="B155" s="33" t="s">
        <v>153</v>
      </c>
      <c r="C155" s="19">
        <v>3</v>
      </c>
      <c r="D155" s="34">
        <v>3</v>
      </c>
      <c r="E155" s="21">
        <f t="shared" si="5"/>
        <v>0</v>
      </c>
      <c r="F155" s="22"/>
    </row>
    <row r="156" spans="1:6" ht="19" x14ac:dyDescent="0.2">
      <c r="A156" s="32">
        <v>30</v>
      </c>
      <c r="B156" s="33" t="s">
        <v>154</v>
      </c>
      <c r="C156" s="19">
        <v>3</v>
      </c>
      <c r="D156" s="34">
        <v>3</v>
      </c>
      <c r="E156" s="21">
        <f t="shared" si="5"/>
        <v>0</v>
      </c>
      <c r="F156" s="22"/>
    </row>
    <row r="157" spans="1:6" ht="19" x14ac:dyDescent="0.2">
      <c r="A157" s="32">
        <v>31</v>
      </c>
      <c r="B157" s="33" t="s">
        <v>155</v>
      </c>
      <c r="C157" s="19">
        <v>1</v>
      </c>
      <c r="D157" s="34">
        <v>1</v>
      </c>
      <c r="E157" s="21">
        <f t="shared" si="5"/>
        <v>0</v>
      </c>
      <c r="F157" s="22"/>
    </row>
    <row r="158" spans="1:6" ht="19" x14ac:dyDescent="0.2">
      <c r="A158" s="32">
        <v>32</v>
      </c>
      <c r="B158" s="33" t="s">
        <v>156</v>
      </c>
      <c r="C158" s="19">
        <v>1</v>
      </c>
      <c r="D158" s="34">
        <v>1</v>
      </c>
      <c r="E158" s="21">
        <f t="shared" si="5"/>
        <v>0</v>
      </c>
      <c r="F158" s="22"/>
    </row>
    <row r="159" spans="1:6" ht="19" x14ac:dyDescent="0.2">
      <c r="A159" s="32">
        <v>33</v>
      </c>
      <c r="B159" s="33" t="s">
        <v>157</v>
      </c>
      <c r="C159" s="19">
        <v>1</v>
      </c>
      <c r="D159" s="34">
        <v>1</v>
      </c>
      <c r="E159" s="21">
        <f t="shared" ref="E159:E190" si="6">D159-C159</f>
        <v>0</v>
      </c>
      <c r="F159" s="22"/>
    </row>
    <row r="160" spans="1:6" ht="19" x14ac:dyDescent="0.2">
      <c r="A160" s="32">
        <v>34</v>
      </c>
      <c r="B160" s="33" t="s">
        <v>158</v>
      </c>
      <c r="C160" s="19">
        <v>7</v>
      </c>
      <c r="D160" s="34">
        <v>7</v>
      </c>
      <c r="E160" s="21">
        <f t="shared" si="6"/>
        <v>0</v>
      </c>
      <c r="F160" s="22"/>
    </row>
    <row r="161" spans="1:6" ht="19" x14ac:dyDescent="0.2">
      <c r="A161" s="32">
        <v>35</v>
      </c>
      <c r="B161" s="33" t="s">
        <v>159</v>
      </c>
      <c r="C161" s="19">
        <v>8</v>
      </c>
      <c r="D161" s="34">
        <v>8</v>
      </c>
      <c r="E161" s="21">
        <f t="shared" si="6"/>
        <v>0</v>
      </c>
      <c r="F161" s="22"/>
    </row>
    <row r="162" spans="1:6" ht="19" x14ac:dyDescent="0.2">
      <c r="A162" s="32">
        <v>36</v>
      </c>
      <c r="B162" s="33" t="s">
        <v>160</v>
      </c>
      <c r="C162" s="19">
        <v>0</v>
      </c>
      <c r="D162" s="34">
        <v>0</v>
      </c>
      <c r="E162" s="21">
        <f t="shared" si="6"/>
        <v>0</v>
      </c>
      <c r="F162" s="22"/>
    </row>
    <row r="163" spans="1:6" ht="19" x14ac:dyDescent="0.2">
      <c r="A163" s="32">
        <v>37</v>
      </c>
      <c r="B163" s="33" t="s">
        <v>161</v>
      </c>
      <c r="C163" s="19">
        <v>0</v>
      </c>
      <c r="D163" s="34">
        <v>0</v>
      </c>
      <c r="E163" s="21">
        <f t="shared" si="6"/>
        <v>0</v>
      </c>
      <c r="F163" s="22"/>
    </row>
    <row r="164" spans="1:6" ht="19" x14ac:dyDescent="0.2">
      <c r="A164" s="32">
        <v>38</v>
      </c>
      <c r="B164" s="33" t="s">
        <v>162</v>
      </c>
      <c r="C164" s="19">
        <v>3</v>
      </c>
      <c r="D164" s="34">
        <v>3</v>
      </c>
      <c r="E164" s="21">
        <f t="shared" si="6"/>
        <v>0</v>
      </c>
      <c r="F164" s="22"/>
    </row>
    <row r="165" spans="1:6" ht="19" x14ac:dyDescent="0.2">
      <c r="A165" s="32">
        <v>39</v>
      </c>
      <c r="B165" s="33" t="s">
        <v>163</v>
      </c>
      <c r="C165" s="19">
        <v>3</v>
      </c>
      <c r="D165" s="34">
        <v>4</v>
      </c>
      <c r="E165" s="21">
        <f t="shared" si="6"/>
        <v>1</v>
      </c>
      <c r="F165" s="22"/>
    </row>
    <row r="166" spans="1:6" ht="19" x14ac:dyDescent="0.2">
      <c r="A166" s="32">
        <v>40</v>
      </c>
      <c r="B166" s="33" t="s">
        <v>164</v>
      </c>
      <c r="C166" s="19">
        <v>17</v>
      </c>
      <c r="D166" s="34">
        <v>17</v>
      </c>
      <c r="E166" s="21">
        <f t="shared" si="6"/>
        <v>0</v>
      </c>
      <c r="F166" s="22"/>
    </row>
    <row r="167" spans="1:6" ht="19" x14ac:dyDescent="0.2">
      <c r="A167" s="32">
        <v>41</v>
      </c>
      <c r="B167" s="33" t="s">
        <v>165</v>
      </c>
      <c r="C167" s="19">
        <v>5</v>
      </c>
      <c r="D167" s="34">
        <v>5</v>
      </c>
      <c r="E167" s="21">
        <f t="shared" si="6"/>
        <v>0</v>
      </c>
      <c r="F167" s="22"/>
    </row>
    <row r="168" spans="1:6" ht="19" x14ac:dyDescent="0.2">
      <c r="A168" s="32">
        <v>42</v>
      </c>
      <c r="B168" s="33" t="s">
        <v>166</v>
      </c>
      <c r="C168" s="19">
        <v>10</v>
      </c>
      <c r="D168" s="34">
        <v>10</v>
      </c>
      <c r="E168" s="21">
        <f t="shared" si="6"/>
        <v>0</v>
      </c>
      <c r="F168" s="22"/>
    </row>
    <row r="169" spans="1:6" ht="19" x14ac:dyDescent="0.2">
      <c r="A169" s="32">
        <v>43</v>
      </c>
      <c r="B169" s="33" t="s">
        <v>167</v>
      </c>
      <c r="C169" s="19">
        <v>9</v>
      </c>
      <c r="D169" s="34">
        <v>9</v>
      </c>
      <c r="E169" s="21">
        <f t="shared" si="6"/>
        <v>0</v>
      </c>
      <c r="F169" s="22"/>
    </row>
    <row r="170" spans="1:6" ht="19" x14ac:dyDescent="0.2">
      <c r="A170" s="32">
        <v>44</v>
      </c>
      <c r="B170" s="33" t="s">
        <v>168</v>
      </c>
      <c r="C170" s="19">
        <v>4</v>
      </c>
      <c r="D170" s="34">
        <v>3</v>
      </c>
      <c r="E170" s="21">
        <f t="shared" si="6"/>
        <v>-1</v>
      </c>
      <c r="F170" s="22"/>
    </row>
    <row r="171" spans="1:6" ht="19" x14ac:dyDescent="0.2">
      <c r="A171" s="32">
        <v>45</v>
      </c>
      <c r="B171" s="33" t="s">
        <v>169</v>
      </c>
      <c r="C171" s="19">
        <v>4</v>
      </c>
      <c r="D171" s="34">
        <v>4</v>
      </c>
      <c r="E171" s="21">
        <f t="shared" si="6"/>
        <v>0</v>
      </c>
      <c r="F171" s="22"/>
    </row>
    <row r="172" spans="1:6" ht="19" x14ac:dyDescent="0.2">
      <c r="A172" s="32">
        <v>46</v>
      </c>
      <c r="B172" s="33" t="s">
        <v>170</v>
      </c>
      <c r="C172" s="19">
        <v>4</v>
      </c>
      <c r="D172" s="34">
        <v>4</v>
      </c>
      <c r="E172" s="21">
        <f t="shared" si="6"/>
        <v>0</v>
      </c>
      <c r="F172" s="22"/>
    </row>
    <row r="173" spans="1:6" ht="19" x14ac:dyDescent="0.2">
      <c r="A173" s="32">
        <v>47</v>
      </c>
      <c r="B173" s="33" t="s">
        <v>171</v>
      </c>
      <c r="C173" s="19">
        <v>2</v>
      </c>
      <c r="D173" s="34">
        <v>2</v>
      </c>
      <c r="E173" s="21">
        <f t="shared" si="6"/>
        <v>0</v>
      </c>
      <c r="F173" s="22"/>
    </row>
    <row r="174" spans="1:6" ht="19" x14ac:dyDescent="0.2">
      <c r="A174" s="32">
        <v>48</v>
      </c>
      <c r="B174" s="33" t="s">
        <v>172</v>
      </c>
      <c r="C174" s="19">
        <v>2</v>
      </c>
      <c r="D174" s="34">
        <v>2</v>
      </c>
      <c r="E174" s="21">
        <f t="shared" si="6"/>
        <v>0</v>
      </c>
      <c r="F174" s="22"/>
    </row>
    <row r="175" spans="1:6" ht="19" x14ac:dyDescent="0.2">
      <c r="A175" s="32">
        <v>49</v>
      </c>
      <c r="B175" s="33" t="s">
        <v>173</v>
      </c>
      <c r="C175" s="19">
        <v>4</v>
      </c>
      <c r="D175" s="34">
        <v>4</v>
      </c>
      <c r="E175" s="21">
        <f t="shared" si="6"/>
        <v>0</v>
      </c>
      <c r="F175" s="22"/>
    </row>
    <row r="176" spans="1:6" ht="19" x14ac:dyDescent="0.2">
      <c r="A176" s="32">
        <v>50</v>
      </c>
      <c r="B176" s="33" t="s">
        <v>174</v>
      </c>
      <c r="C176" s="19">
        <v>5</v>
      </c>
      <c r="D176" s="34">
        <v>5</v>
      </c>
      <c r="E176" s="21">
        <f t="shared" si="6"/>
        <v>0</v>
      </c>
      <c r="F176" s="22"/>
    </row>
    <row r="177" spans="1:6" ht="19" x14ac:dyDescent="0.2">
      <c r="A177" s="32">
        <v>51</v>
      </c>
      <c r="B177" s="33" t="s">
        <v>175</v>
      </c>
      <c r="C177" s="19">
        <v>1</v>
      </c>
      <c r="D177" s="34">
        <v>1</v>
      </c>
      <c r="E177" s="21">
        <f t="shared" si="6"/>
        <v>0</v>
      </c>
      <c r="F177" s="22"/>
    </row>
    <row r="178" spans="1:6" ht="19" x14ac:dyDescent="0.2">
      <c r="A178" s="32">
        <v>52</v>
      </c>
      <c r="B178" s="33" t="s">
        <v>176</v>
      </c>
      <c r="C178" s="19">
        <v>5</v>
      </c>
      <c r="D178" s="34">
        <v>5</v>
      </c>
      <c r="E178" s="21">
        <f t="shared" si="6"/>
        <v>0</v>
      </c>
      <c r="F178" s="22"/>
    </row>
    <row r="179" spans="1:6" ht="19" x14ac:dyDescent="0.2">
      <c r="A179" s="32">
        <v>53</v>
      </c>
      <c r="B179" s="33" t="s">
        <v>177</v>
      </c>
      <c r="C179" s="19">
        <v>4</v>
      </c>
      <c r="D179" s="34">
        <v>4</v>
      </c>
      <c r="E179" s="21">
        <f t="shared" si="6"/>
        <v>0</v>
      </c>
      <c r="F179" s="22"/>
    </row>
    <row r="180" spans="1:6" ht="19" x14ac:dyDescent="0.2">
      <c r="A180" s="32">
        <v>54</v>
      </c>
      <c r="B180" s="33" t="s">
        <v>178</v>
      </c>
      <c r="C180" s="19">
        <v>1</v>
      </c>
      <c r="D180" s="34">
        <v>1</v>
      </c>
      <c r="E180" s="21">
        <f t="shared" si="6"/>
        <v>0</v>
      </c>
      <c r="F180" s="22"/>
    </row>
    <row r="181" spans="1:6" ht="19" x14ac:dyDescent="0.2">
      <c r="A181" s="32">
        <v>55</v>
      </c>
      <c r="B181" s="33" t="s">
        <v>179</v>
      </c>
      <c r="C181" s="19">
        <v>6</v>
      </c>
      <c r="D181" s="34">
        <v>6</v>
      </c>
      <c r="E181" s="21">
        <f t="shared" si="6"/>
        <v>0</v>
      </c>
      <c r="F181" s="22"/>
    </row>
    <row r="182" spans="1:6" ht="19" x14ac:dyDescent="0.2">
      <c r="A182" s="32">
        <v>56</v>
      </c>
      <c r="B182" s="33" t="s">
        <v>180</v>
      </c>
      <c r="C182" s="19">
        <v>3</v>
      </c>
      <c r="D182" s="34">
        <v>3</v>
      </c>
      <c r="E182" s="21">
        <f t="shared" si="6"/>
        <v>0</v>
      </c>
      <c r="F182" s="22"/>
    </row>
    <row r="183" spans="1:6" ht="19" x14ac:dyDescent="0.2">
      <c r="A183" s="32">
        <v>57</v>
      </c>
      <c r="B183" s="33" t="s">
        <v>181</v>
      </c>
      <c r="C183" s="19">
        <v>0</v>
      </c>
      <c r="D183" s="34">
        <v>0</v>
      </c>
      <c r="E183" s="21">
        <f t="shared" si="6"/>
        <v>0</v>
      </c>
      <c r="F183" s="22"/>
    </row>
    <row r="184" spans="1:6" ht="19" x14ac:dyDescent="0.2">
      <c r="A184" s="32">
        <v>58</v>
      </c>
      <c r="B184" s="33" t="s">
        <v>182</v>
      </c>
      <c r="C184" s="19">
        <v>1</v>
      </c>
      <c r="D184" s="34">
        <v>1</v>
      </c>
      <c r="E184" s="21">
        <f t="shared" si="6"/>
        <v>0</v>
      </c>
      <c r="F184" s="22"/>
    </row>
    <row r="185" spans="1:6" ht="19" x14ac:dyDescent="0.2">
      <c r="A185" s="32">
        <v>59</v>
      </c>
      <c r="B185" s="33" t="s">
        <v>183</v>
      </c>
      <c r="C185" s="19">
        <v>3</v>
      </c>
      <c r="D185" s="34">
        <v>3</v>
      </c>
      <c r="E185" s="21">
        <f t="shared" si="6"/>
        <v>0</v>
      </c>
      <c r="F185" s="22"/>
    </row>
    <row r="186" spans="1:6" ht="19" x14ac:dyDescent="0.2">
      <c r="A186" s="32">
        <v>60</v>
      </c>
      <c r="B186" s="33" t="s">
        <v>184</v>
      </c>
      <c r="C186" s="19">
        <v>0</v>
      </c>
      <c r="D186" s="34">
        <v>0</v>
      </c>
      <c r="E186" s="21">
        <f t="shared" si="6"/>
        <v>0</v>
      </c>
      <c r="F186" s="22"/>
    </row>
    <row r="187" spans="1:6" ht="19" x14ac:dyDescent="0.2">
      <c r="A187" s="32">
        <v>61</v>
      </c>
      <c r="B187" s="33" t="s">
        <v>185</v>
      </c>
      <c r="C187" s="19">
        <v>3</v>
      </c>
      <c r="D187" s="34">
        <v>3</v>
      </c>
      <c r="E187" s="21">
        <f t="shared" si="6"/>
        <v>0</v>
      </c>
      <c r="F187" s="22"/>
    </row>
    <row r="188" spans="1:6" ht="19" x14ac:dyDescent="0.2">
      <c r="A188" s="32">
        <v>62</v>
      </c>
      <c r="B188" s="33" t="s">
        <v>186</v>
      </c>
      <c r="C188" s="19">
        <v>3</v>
      </c>
      <c r="D188" s="34">
        <v>3</v>
      </c>
      <c r="E188" s="21">
        <f t="shared" si="6"/>
        <v>0</v>
      </c>
      <c r="F188" s="22"/>
    </row>
    <row r="189" spans="1:6" ht="19" x14ac:dyDescent="0.2">
      <c r="A189" s="32">
        <v>63</v>
      </c>
      <c r="B189" s="33" t="s">
        <v>187</v>
      </c>
      <c r="C189" s="19">
        <v>4</v>
      </c>
      <c r="D189" s="34">
        <v>4</v>
      </c>
      <c r="E189" s="21">
        <f t="shared" si="6"/>
        <v>0</v>
      </c>
      <c r="F189" s="22"/>
    </row>
    <row r="190" spans="1:6" ht="19" x14ac:dyDescent="0.2">
      <c r="A190" s="32">
        <v>64</v>
      </c>
      <c r="B190" s="33" t="s">
        <v>188</v>
      </c>
      <c r="C190" s="19">
        <v>3</v>
      </c>
      <c r="D190" s="34">
        <v>3</v>
      </c>
      <c r="E190" s="21">
        <f t="shared" si="6"/>
        <v>0</v>
      </c>
      <c r="F190" s="22"/>
    </row>
    <row r="191" spans="1:6" ht="19" x14ac:dyDescent="0.2">
      <c r="A191" s="32">
        <v>65</v>
      </c>
      <c r="B191" s="33" t="s">
        <v>189</v>
      </c>
      <c r="C191" s="19">
        <v>2</v>
      </c>
      <c r="D191" s="34">
        <v>2</v>
      </c>
      <c r="E191" s="21">
        <f t="shared" ref="E191:E204" si="7">D191-C191</f>
        <v>0</v>
      </c>
      <c r="F191" s="22"/>
    </row>
    <row r="192" spans="1:6" ht="19" x14ac:dyDescent="0.2">
      <c r="A192" s="32">
        <v>66</v>
      </c>
      <c r="B192" s="33" t="s">
        <v>190</v>
      </c>
      <c r="C192" s="19">
        <v>3</v>
      </c>
      <c r="D192" s="34">
        <v>3</v>
      </c>
      <c r="E192" s="21">
        <f t="shared" si="7"/>
        <v>0</v>
      </c>
      <c r="F192" s="22"/>
    </row>
    <row r="193" spans="1:6" ht="19" x14ac:dyDescent="0.2">
      <c r="A193" s="32">
        <v>67</v>
      </c>
      <c r="B193" s="33" t="s">
        <v>191</v>
      </c>
      <c r="C193" s="19">
        <v>3</v>
      </c>
      <c r="D193" s="34">
        <v>3</v>
      </c>
      <c r="E193" s="21">
        <f t="shared" si="7"/>
        <v>0</v>
      </c>
      <c r="F193" s="22"/>
    </row>
    <row r="194" spans="1:6" ht="19" x14ac:dyDescent="0.2">
      <c r="A194" s="32">
        <v>68</v>
      </c>
      <c r="B194" s="33" t="s">
        <v>192</v>
      </c>
      <c r="C194" s="19">
        <v>1</v>
      </c>
      <c r="D194" s="34">
        <v>1</v>
      </c>
      <c r="E194" s="21">
        <f t="shared" si="7"/>
        <v>0</v>
      </c>
      <c r="F194" s="22"/>
    </row>
    <row r="195" spans="1:6" ht="19" x14ac:dyDescent="0.2">
      <c r="A195" s="32">
        <v>69</v>
      </c>
      <c r="B195" s="33" t="s">
        <v>193</v>
      </c>
      <c r="C195" s="19">
        <v>0</v>
      </c>
      <c r="D195" s="34">
        <v>0</v>
      </c>
      <c r="E195" s="21">
        <f t="shared" si="7"/>
        <v>0</v>
      </c>
      <c r="F195" s="22"/>
    </row>
    <row r="196" spans="1:6" ht="19" x14ac:dyDescent="0.2">
      <c r="A196" s="32">
        <v>70</v>
      </c>
      <c r="B196" s="33" t="s">
        <v>194</v>
      </c>
      <c r="C196" s="19">
        <v>2</v>
      </c>
      <c r="D196" s="34">
        <v>2</v>
      </c>
      <c r="E196" s="21">
        <f t="shared" si="7"/>
        <v>0</v>
      </c>
      <c r="F196" s="22"/>
    </row>
    <row r="197" spans="1:6" ht="19" x14ac:dyDescent="0.2">
      <c r="A197" s="32">
        <v>71</v>
      </c>
      <c r="B197" s="33" t="s">
        <v>195</v>
      </c>
      <c r="C197" s="19">
        <v>3</v>
      </c>
      <c r="D197" s="34">
        <v>3</v>
      </c>
      <c r="E197" s="21">
        <f t="shared" si="7"/>
        <v>0</v>
      </c>
      <c r="F197" s="22"/>
    </row>
    <row r="198" spans="1:6" ht="19" x14ac:dyDescent="0.2">
      <c r="A198" s="32">
        <v>72</v>
      </c>
      <c r="B198" s="33" t="s">
        <v>196</v>
      </c>
      <c r="C198" s="19">
        <v>3</v>
      </c>
      <c r="D198" s="34">
        <v>3</v>
      </c>
      <c r="E198" s="21">
        <f t="shared" si="7"/>
        <v>0</v>
      </c>
      <c r="F198" s="22"/>
    </row>
    <row r="199" spans="1:6" ht="19" x14ac:dyDescent="0.2">
      <c r="A199" s="32">
        <v>73</v>
      </c>
      <c r="B199" s="33" t="s">
        <v>197</v>
      </c>
      <c r="C199" s="19">
        <v>4</v>
      </c>
      <c r="D199" s="34">
        <v>4</v>
      </c>
      <c r="E199" s="21">
        <f t="shared" si="7"/>
        <v>0</v>
      </c>
      <c r="F199" s="22"/>
    </row>
    <row r="200" spans="1:6" ht="19" x14ac:dyDescent="0.2">
      <c r="A200" s="32">
        <v>74</v>
      </c>
      <c r="B200" s="33" t="s">
        <v>198</v>
      </c>
      <c r="C200" s="19">
        <v>3</v>
      </c>
      <c r="D200" s="34">
        <v>3</v>
      </c>
      <c r="E200" s="21">
        <f t="shared" si="7"/>
        <v>0</v>
      </c>
      <c r="F200" s="22"/>
    </row>
    <row r="201" spans="1:6" ht="19" x14ac:dyDescent="0.2">
      <c r="A201" s="32">
        <v>75</v>
      </c>
      <c r="B201" s="33" t="s">
        <v>199</v>
      </c>
      <c r="C201" s="19">
        <v>5</v>
      </c>
      <c r="D201" s="34">
        <v>5</v>
      </c>
      <c r="E201" s="21">
        <f t="shared" si="7"/>
        <v>0</v>
      </c>
      <c r="F201" s="22"/>
    </row>
    <row r="202" spans="1:6" ht="19" x14ac:dyDescent="0.2">
      <c r="A202" s="32">
        <v>76</v>
      </c>
      <c r="B202" s="33" t="s">
        <v>200</v>
      </c>
      <c r="C202" s="19">
        <v>5</v>
      </c>
      <c r="D202" s="34">
        <v>5</v>
      </c>
      <c r="E202" s="21">
        <f t="shared" si="7"/>
        <v>0</v>
      </c>
      <c r="F202" s="22"/>
    </row>
    <row r="203" spans="1:6" ht="19" x14ac:dyDescent="0.2">
      <c r="A203" s="32">
        <v>77</v>
      </c>
      <c r="B203" s="33" t="s">
        <v>201</v>
      </c>
      <c r="C203" s="19">
        <v>7</v>
      </c>
      <c r="D203" s="34">
        <v>7</v>
      </c>
      <c r="E203" s="21">
        <f t="shared" si="7"/>
        <v>0</v>
      </c>
      <c r="F203" s="22"/>
    </row>
    <row r="204" spans="1:6" ht="19" x14ac:dyDescent="0.2">
      <c r="A204" s="35">
        <v>78</v>
      </c>
      <c r="B204" s="36" t="s">
        <v>202</v>
      </c>
      <c r="C204" s="37">
        <v>7</v>
      </c>
      <c r="D204" s="38">
        <v>7</v>
      </c>
      <c r="E204" s="39">
        <f t="shared" si="7"/>
        <v>0</v>
      </c>
      <c r="F204" s="40"/>
    </row>
    <row r="205" spans="1:6" ht="19" x14ac:dyDescent="0.2">
      <c r="A205" s="41"/>
      <c r="B205" s="41"/>
      <c r="C205" s="42"/>
      <c r="D205" s="43"/>
      <c r="E205" s="41"/>
      <c r="F205" s="44"/>
    </row>
    <row r="206" spans="1:6" ht="19" x14ac:dyDescent="0.2">
      <c r="A206" s="41"/>
      <c r="B206" s="41"/>
      <c r="C206" s="42"/>
      <c r="D206" s="43"/>
      <c r="E206" s="41"/>
      <c r="F206" s="44"/>
    </row>
    <row r="1048572" ht="12.75" customHeight="1" x14ac:dyDescent="0.2"/>
    <row r="1048573" ht="12.75" customHeight="1" x14ac:dyDescent="0.2"/>
    <row r="1048574" ht="12.75" customHeight="1" x14ac:dyDescent="0.2"/>
    <row r="1048575" ht="12.75" customHeight="1" x14ac:dyDescent="0.2"/>
    <row r="1048576" ht="12.75" customHeight="1" x14ac:dyDescent="0.2"/>
  </sheetData>
  <autoFilter ref="A10:F204" xr:uid="{00000000-0009-0000-0000-000000000000}"/>
  <mergeCells count="7">
    <mergeCell ref="A123:F123"/>
    <mergeCell ref="A126:F126"/>
    <mergeCell ref="A10:B10"/>
    <mergeCell ref="A26:F26"/>
    <mergeCell ref="A52:F52"/>
    <mergeCell ref="A62:F62"/>
    <mergeCell ref="A84:F84"/>
  </mergeCells>
  <pageMargins left="0.7" right="0.7" top="0.75" bottom="0.75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48576"/>
  <sheetViews>
    <sheetView showGridLines="0" rightToLeft="1" zoomScale="60" zoomScaleNormal="60" workbookViewId="0">
      <selection activeCell="D75" sqref="D75"/>
    </sheetView>
  </sheetViews>
  <sheetFormatPr baseColWidth="10" defaultColWidth="8.83203125" defaultRowHeight="18.75" customHeight="1" x14ac:dyDescent="0.25"/>
  <cols>
    <col min="1" max="1" width="5.5" style="45" customWidth="1"/>
    <col min="2" max="2" width="51.6640625" style="46" customWidth="1"/>
    <col min="3" max="3" width="29" style="46" customWidth="1"/>
    <col min="4" max="4" width="23.5" style="46" customWidth="1"/>
    <col min="5" max="5" width="20.1640625" style="46" customWidth="1"/>
    <col min="6" max="6" width="83.1640625" style="47" customWidth="1"/>
    <col min="7" max="16384" width="8.83203125" style="48"/>
  </cols>
  <sheetData>
    <row r="1" spans="1:6" ht="21" x14ac:dyDescent="0.25">
      <c r="A1"/>
      <c r="B1" s="49"/>
      <c r="C1" s="50"/>
    </row>
    <row r="2" spans="1:6" ht="21" x14ac:dyDescent="0.25">
      <c r="A2"/>
      <c r="B2" s="354" t="s">
        <v>0</v>
      </c>
      <c r="C2" s="354"/>
    </row>
    <row r="3" spans="1:6" ht="21" x14ac:dyDescent="0.25">
      <c r="A3" s="51"/>
      <c r="B3" s="49" t="s">
        <v>1</v>
      </c>
      <c r="C3" s="52" t="s">
        <v>203</v>
      </c>
    </row>
    <row r="4" spans="1:6" ht="21" x14ac:dyDescent="0.25">
      <c r="A4" s="51">
        <v>1</v>
      </c>
      <c r="B4" s="49" t="s">
        <v>204</v>
      </c>
      <c r="C4" s="52" t="s">
        <v>205</v>
      </c>
    </row>
    <row r="5" spans="1:6" ht="21" x14ac:dyDescent="0.25">
      <c r="A5" s="51">
        <v>2</v>
      </c>
      <c r="B5" s="49" t="s">
        <v>206</v>
      </c>
      <c r="C5" s="52" t="s">
        <v>207</v>
      </c>
    </row>
    <row r="6" spans="1:6" ht="21" x14ac:dyDescent="0.25">
      <c r="A6" s="51">
        <v>3</v>
      </c>
      <c r="B6" s="49" t="s">
        <v>208</v>
      </c>
      <c r="C6" s="52" t="s">
        <v>209</v>
      </c>
    </row>
    <row r="7" spans="1:6" ht="21" x14ac:dyDescent="0.25">
      <c r="A7" s="51">
        <v>4</v>
      </c>
      <c r="B7" s="49" t="s">
        <v>210</v>
      </c>
      <c r="C7" s="52" t="s">
        <v>211</v>
      </c>
    </row>
    <row r="8" spans="1:6" ht="21" x14ac:dyDescent="0.25">
      <c r="A8" s="51"/>
      <c r="B8" s="49"/>
      <c r="C8" s="52"/>
    </row>
    <row r="9" spans="1:6" s="56" customFormat="1" ht="49.25" customHeight="1" x14ac:dyDescent="0.2">
      <c r="A9" s="355" t="s">
        <v>4</v>
      </c>
      <c r="B9" s="355"/>
      <c r="C9" s="53" t="s">
        <v>5</v>
      </c>
      <c r="D9" s="54" t="s">
        <v>212</v>
      </c>
      <c r="E9" s="55" t="s">
        <v>7</v>
      </c>
      <c r="F9" s="55" t="s">
        <v>8</v>
      </c>
    </row>
    <row r="10" spans="1:6" ht="21" x14ac:dyDescent="0.25">
      <c r="A10" s="50">
        <v>1</v>
      </c>
      <c r="B10" s="49" t="s">
        <v>213</v>
      </c>
      <c r="C10" s="49">
        <v>20</v>
      </c>
      <c r="D10" s="52">
        <v>20</v>
      </c>
      <c r="E10" s="49">
        <f t="shared" ref="E10:E24" si="0">D10-C10</f>
        <v>0</v>
      </c>
      <c r="F10" s="1"/>
    </row>
    <row r="11" spans="1:6" ht="21" x14ac:dyDescent="0.25">
      <c r="A11" s="50">
        <v>2</v>
      </c>
      <c r="B11" s="49" t="s">
        <v>10</v>
      </c>
      <c r="C11" s="49">
        <v>90</v>
      </c>
      <c r="D11" s="49">
        <v>90</v>
      </c>
      <c r="E11" s="49">
        <f t="shared" si="0"/>
        <v>0</v>
      </c>
      <c r="F11" s="1"/>
    </row>
    <row r="12" spans="1:6" ht="21" x14ac:dyDescent="0.25">
      <c r="A12" s="50">
        <v>3</v>
      </c>
      <c r="B12" s="49" t="s">
        <v>11</v>
      </c>
      <c r="C12" s="49">
        <v>60</v>
      </c>
      <c r="D12" s="49">
        <v>60</v>
      </c>
      <c r="E12" s="49">
        <f t="shared" si="0"/>
        <v>0</v>
      </c>
      <c r="F12" s="1"/>
    </row>
    <row r="13" spans="1:6" ht="21" x14ac:dyDescent="0.25">
      <c r="A13" s="50">
        <v>4</v>
      </c>
      <c r="B13" s="49" t="s">
        <v>12</v>
      </c>
      <c r="C13" s="49">
        <v>0</v>
      </c>
      <c r="D13" s="49">
        <v>0</v>
      </c>
      <c r="E13" s="49">
        <f t="shared" si="0"/>
        <v>0</v>
      </c>
      <c r="F13" s="1"/>
    </row>
    <row r="14" spans="1:6" ht="21" x14ac:dyDescent="0.25">
      <c r="A14" s="50">
        <v>5</v>
      </c>
      <c r="B14" s="49" t="s">
        <v>13</v>
      </c>
      <c r="C14" s="49">
        <v>557</v>
      </c>
      <c r="D14" s="49">
        <v>557</v>
      </c>
      <c r="E14" s="49">
        <f t="shared" si="0"/>
        <v>0</v>
      </c>
      <c r="F14" s="1"/>
    </row>
    <row r="15" spans="1:6" ht="21" x14ac:dyDescent="0.25">
      <c r="A15" s="50">
        <v>6</v>
      </c>
      <c r="B15" s="49" t="s">
        <v>14</v>
      </c>
      <c r="C15" s="49">
        <v>73</v>
      </c>
      <c r="D15" s="49">
        <v>73</v>
      </c>
      <c r="E15" s="49">
        <f t="shared" si="0"/>
        <v>0</v>
      </c>
      <c r="F15" s="1"/>
    </row>
    <row r="16" spans="1:6" ht="21" x14ac:dyDescent="0.25">
      <c r="A16" s="50">
        <v>7</v>
      </c>
      <c r="B16" s="49" t="s">
        <v>15</v>
      </c>
      <c r="C16" s="49">
        <v>334</v>
      </c>
      <c r="D16" s="49">
        <v>334</v>
      </c>
      <c r="E16" s="49">
        <f t="shared" si="0"/>
        <v>0</v>
      </c>
      <c r="F16" s="1"/>
    </row>
    <row r="17" spans="1:6" ht="21" x14ac:dyDescent="0.25">
      <c r="A17" s="50">
        <v>8</v>
      </c>
      <c r="B17" s="49" t="s">
        <v>16</v>
      </c>
      <c r="C17" s="49">
        <v>662</v>
      </c>
      <c r="D17" s="49">
        <v>662</v>
      </c>
      <c r="E17" s="49">
        <f t="shared" si="0"/>
        <v>0</v>
      </c>
      <c r="F17" s="1"/>
    </row>
    <row r="18" spans="1:6" ht="21" x14ac:dyDescent="0.25">
      <c r="A18" s="50">
        <v>9</v>
      </c>
      <c r="B18" s="49" t="s">
        <v>17</v>
      </c>
      <c r="C18" s="49">
        <v>0</v>
      </c>
      <c r="D18" s="49"/>
      <c r="E18" s="49">
        <f t="shared" si="0"/>
        <v>0</v>
      </c>
      <c r="F18" s="1"/>
    </row>
    <row r="19" spans="1:6" customFormat="1" ht="21" x14ac:dyDescent="0.25">
      <c r="A19" s="50">
        <v>10</v>
      </c>
      <c r="B19" s="49" t="s">
        <v>18</v>
      </c>
      <c r="C19" s="49">
        <v>0</v>
      </c>
      <c r="D19" s="49"/>
      <c r="E19" s="49">
        <f t="shared" si="0"/>
        <v>0</v>
      </c>
      <c r="F19" s="1"/>
    </row>
    <row r="20" spans="1:6" ht="21" x14ac:dyDescent="0.25">
      <c r="A20" s="50">
        <v>11</v>
      </c>
      <c r="B20" s="49" t="s">
        <v>19</v>
      </c>
      <c r="C20" s="49">
        <v>0</v>
      </c>
      <c r="D20" s="49"/>
      <c r="E20" s="49">
        <f t="shared" si="0"/>
        <v>0</v>
      </c>
      <c r="F20" s="1"/>
    </row>
    <row r="21" spans="1:6" ht="21" x14ac:dyDescent="0.25">
      <c r="A21" s="50">
        <v>12</v>
      </c>
      <c r="B21" s="49" t="s">
        <v>20</v>
      </c>
      <c r="C21" s="49">
        <v>0</v>
      </c>
      <c r="D21" s="49"/>
      <c r="E21" s="49">
        <f t="shared" si="0"/>
        <v>0</v>
      </c>
      <c r="F21" s="1"/>
    </row>
    <row r="22" spans="1:6" ht="18.75" customHeight="1" x14ac:dyDescent="0.25">
      <c r="A22" s="50">
        <v>13</v>
      </c>
      <c r="B22" s="49" t="s">
        <v>21</v>
      </c>
      <c r="C22" s="49">
        <v>0</v>
      </c>
      <c r="D22" s="49">
        <v>4</v>
      </c>
      <c r="E22" s="49">
        <f t="shared" si="0"/>
        <v>4</v>
      </c>
      <c r="F22" s="356" t="s">
        <v>214</v>
      </c>
    </row>
    <row r="23" spans="1:6" s="46" customFormat="1" ht="21" x14ac:dyDescent="0.25">
      <c r="A23" s="50">
        <v>14</v>
      </c>
      <c r="B23" s="49" t="s">
        <v>22</v>
      </c>
      <c r="C23" s="49">
        <v>13</v>
      </c>
      <c r="D23" s="49">
        <v>9</v>
      </c>
      <c r="E23" s="49">
        <f t="shared" si="0"/>
        <v>-4</v>
      </c>
      <c r="F23" s="356"/>
    </row>
    <row r="24" spans="1:6" ht="21" x14ac:dyDescent="0.25">
      <c r="A24" s="50">
        <v>15</v>
      </c>
      <c r="B24" s="49" t="s">
        <v>23</v>
      </c>
      <c r="C24" s="49">
        <v>0</v>
      </c>
      <c r="D24" s="49"/>
      <c r="E24" s="49">
        <f t="shared" si="0"/>
        <v>0</v>
      </c>
      <c r="F24" s="1"/>
    </row>
    <row r="25" spans="1:6" ht="21" x14ac:dyDescent="0.25">
      <c r="A25" s="357" t="s">
        <v>24</v>
      </c>
      <c r="B25" s="357"/>
      <c r="C25" s="357"/>
      <c r="D25" s="357"/>
      <c r="E25" s="357"/>
      <c r="F25" s="357"/>
    </row>
    <row r="26" spans="1:6" ht="21" x14ac:dyDescent="0.25">
      <c r="A26" s="50">
        <v>1</v>
      </c>
      <c r="B26" s="49" t="s">
        <v>25</v>
      </c>
      <c r="C26" s="49">
        <v>48</v>
      </c>
      <c r="D26" s="49">
        <v>48</v>
      </c>
      <c r="E26" s="49">
        <f t="shared" ref="E26:E50" si="1">D26-C26</f>
        <v>0</v>
      </c>
      <c r="F26" s="1"/>
    </row>
    <row r="27" spans="1:6" ht="21" x14ac:dyDescent="0.25">
      <c r="A27" s="50">
        <v>2</v>
      </c>
      <c r="B27" s="49" t="s">
        <v>26</v>
      </c>
      <c r="C27" s="49">
        <v>0</v>
      </c>
      <c r="D27" s="49"/>
      <c r="E27" s="49">
        <f t="shared" si="1"/>
        <v>0</v>
      </c>
      <c r="F27" s="1"/>
    </row>
    <row r="28" spans="1:6" ht="21" x14ac:dyDescent="0.25">
      <c r="A28" s="50">
        <v>3</v>
      </c>
      <c r="B28" s="49" t="s">
        <v>27</v>
      </c>
      <c r="C28" s="49">
        <v>149</v>
      </c>
      <c r="D28" s="49">
        <v>150</v>
      </c>
      <c r="E28" s="49">
        <f t="shared" si="1"/>
        <v>1</v>
      </c>
      <c r="F28" s="1"/>
    </row>
    <row r="29" spans="1:6" ht="22" x14ac:dyDescent="0.25">
      <c r="A29" s="49">
        <v>4</v>
      </c>
      <c r="B29" s="49" t="s">
        <v>28</v>
      </c>
      <c r="C29" s="49">
        <v>2948</v>
      </c>
      <c r="D29" s="49">
        <v>2927</v>
      </c>
      <c r="E29" s="49">
        <f t="shared" si="1"/>
        <v>-21</v>
      </c>
      <c r="F29" s="1" t="s">
        <v>215</v>
      </c>
    </row>
    <row r="30" spans="1:6" ht="21" x14ac:dyDescent="0.25">
      <c r="A30" s="50">
        <v>5</v>
      </c>
      <c r="B30" s="49" t="s">
        <v>29</v>
      </c>
      <c r="C30" s="49">
        <v>0</v>
      </c>
      <c r="D30" s="49"/>
      <c r="E30" s="49">
        <f t="shared" si="1"/>
        <v>0</v>
      </c>
      <c r="F30" s="1"/>
    </row>
    <row r="31" spans="1:6" ht="21" x14ac:dyDescent="0.25">
      <c r="A31" s="50">
        <v>6</v>
      </c>
      <c r="B31" s="49" t="s">
        <v>30</v>
      </c>
      <c r="C31" s="49">
        <v>2799</v>
      </c>
      <c r="D31" s="49">
        <v>2799</v>
      </c>
      <c r="E31" s="49">
        <f t="shared" si="1"/>
        <v>0</v>
      </c>
      <c r="F31" s="1"/>
    </row>
    <row r="32" spans="1:6" ht="22" x14ac:dyDescent="0.25">
      <c r="A32" s="50">
        <v>7</v>
      </c>
      <c r="B32" s="49" t="s">
        <v>31</v>
      </c>
      <c r="C32" s="49">
        <v>1670</v>
      </c>
      <c r="D32" s="49">
        <v>1668</v>
      </c>
      <c r="E32" s="49">
        <f t="shared" si="1"/>
        <v>-2</v>
      </c>
      <c r="F32" s="1" t="s">
        <v>215</v>
      </c>
    </row>
    <row r="33" spans="1:6" ht="21" x14ac:dyDescent="0.25">
      <c r="A33" s="50">
        <v>8</v>
      </c>
      <c r="B33" s="49" t="s">
        <v>32</v>
      </c>
      <c r="C33" s="49">
        <v>1617</v>
      </c>
      <c r="D33" s="49">
        <v>1617</v>
      </c>
      <c r="E33" s="49">
        <f t="shared" si="1"/>
        <v>0</v>
      </c>
      <c r="F33" s="1"/>
    </row>
    <row r="34" spans="1:6" ht="21" x14ac:dyDescent="0.25">
      <c r="A34" s="50">
        <v>9</v>
      </c>
      <c r="B34" s="49" t="s">
        <v>33</v>
      </c>
      <c r="C34" s="49">
        <v>387</v>
      </c>
      <c r="D34" s="49">
        <v>387</v>
      </c>
      <c r="E34" s="49">
        <f t="shared" si="1"/>
        <v>0</v>
      </c>
      <c r="F34" s="1"/>
    </row>
    <row r="35" spans="1:6" ht="21" x14ac:dyDescent="0.25">
      <c r="A35" s="50">
        <v>10</v>
      </c>
      <c r="B35" s="49" t="s">
        <v>34</v>
      </c>
      <c r="C35" s="49">
        <v>0</v>
      </c>
      <c r="D35" s="49"/>
      <c r="E35" s="49">
        <f t="shared" si="1"/>
        <v>0</v>
      </c>
      <c r="F35" s="1"/>
    </row>
    <row r="36" spans="1:6" ht="21" x14ac:dyDescent="0.25">
      <c r="A36" s="50">
        <v>11</v>
      </c>
      <c r="B36" s="49" t="s">
        <v>35</v>
      </c>
      <c r="C36" s="49">
        <v>1054</v>
      </c>
      <c r="D36" s="49">
        <v>1054</v>
      </c>
      <c r="E36" s="49">
        <f t="shared" si="1"/>
        <v>0</v>
      </c>
      <c r="F36" s="1"/>
    </row>
    <row r="37" spans="1:6" ht="21" x14ac:dyDescent="0.25">
      <c r="A37" s="50">
        <v>12</v>
      </c>
      <c r="B37" s="49" t="s">
        <v>36</v>
      </c>
      <c r="C37" s="49">
        <v>1415</v>
      </c>
      <c r="D37" s="49">
        <v>1415</v>
      </c>
      <c r="E37" s="49">
        <f t="shared" si="1"/>
        <v>0</v>
      </c>
      <c r="F37" s="1"/>
    </row>
    <row r="38" spans="1:6" ht="21" x14ac:dyDescent="0.25">
      <c r="A38" s="50">
        <v>13</v>
      </c>
      <c r="B38" s="49" t="s">
        <v>37</v>
      </c>
      <c r="C38" s="49">
        <v>1900</v>
      </c>
      <c r="D38" s="49">
        <v>1900</v>
      </c>
      <c r="E38" s="49">
        <f t="shared" si="1"/>
        <v>0</v>
      </c>
      <c r="F38" s="1"/>
    </row>
    <row r="39" spans="1:6" ht="21" x14ac:dyDescent="0.25">
      <c r="A39" s="50">
        <v>14</v>
      </c>
      <c r="B39" s="49" t="s">
        <v>38</v>
      </c>
      <c r="C39" s="49">
        <v>655</v>
      </c>
      <c r="D39" s="49">
        <v>655</v>
      </c>
      <c r="E39" s="49">
        <f t="shared" si="1"/>
        <v>0</v>
      </c>
      <c r="F39" s="1"/>
    </row>
    <row r="40" spans="1:6" ht="21" x14ac:dyDescent="0.25">
      <c r="A40" s="50">
        <v>15</v>
      </c>
      <c r="B40" s="49" t="s">
        <v>39</v>
      </c>
      <c r="C40" s="49">
        <v>300</v>
      </c>
      <c r="D40" s="49">
        <v>300</v>
      </c>
      <c r="E40" s="49">
        <f t="shared" si="1"/>
        <v>0</v>
      </c>
      <c r="F40" s="1"/>
    </row>
    <row r="41" spans="1:6" ht="21" x14ac:dyDescent="0.25">
      <c r="A41" s="50">
        <v>16</v>
      </c>
      <c r="B41" s="49" t="s">
        <v>40</v>
      </c>
      <c r="C41" s="49">
        <v>500</v>
      </c>
      <c r="D41" s="49">
        <v>500</v>
      </c>
      <c r="E41" s="49">
        <f t="shared" si="1"/>
        <v>0</v>
      </c>
      <c r="F41" s="1"/>
    </row>
    <row r="42" spans="1:6" ht="21" x14ac:dyDescent="0.25">
      <c r="A42" s="50">
        <v>17</v>
      </c>
      <c r="B42" s="49" t="s">
        <v>41</v>
      </c>
      <c r="C42" s="49">
        <v>450</v>
      </c>
      <c r="D42" s="49">
        <v>450</v>
      </c>
      <c r="E42" s="49">
        <f t="shared" si="1"/>
        <v>0</v>
      </c>
      <c r="F42" s="1"/>
    </row>
    <row r="43" spans="1:6" ht="21" x14ac:dyDescent="0.25">
      <c r="A43" s="50">
        <v>18</v>
      </c>
      <c r="B43" s="49" t="s">
        <v>42</v>
      </c>
      <c r="C43" s="49">
        <v>490</v>
      </c>
      <c r="D43" s="49">
        <v>490</v>
      </c>
      <c r="E43" s="49">
        <f t="shared" si="1"/>
        <v>0</v>
      </c>
      <c r="F43" s="1"/>
    </row>
    <row r="44" spans="1:6" ht="21" x14ac:dyDescent="0.25">
      <c r="A44" s="50">
        <v>19</v>
      </c>
      <c r="B44" s="49" t="s">
        <v>43</v>
      </c>
      <c r="C44" s="49">
        <v>1391</v>
      </c>
      <c r="D44" s="49">
        <v>1391</v>
      </c>
      <c r="E44" s="49">
        <f t="shared" si="1"/>
        <v>0</v>
      </c>
      <c r="F44" s="1"/>
    </row>
    <row r="45" spans="1:6" customFormat="1" ht="21" x14ac:dyDescent="0.25">
      <c r="A45" s="50">
        <v>20</v>
      </c>
      <c r="B45" s="49" t="s">
        <v>44</v>
      </c>
      <c r="C45" s="49">
        <v>80</v>
      </c>
      <c r="D45" s="49">
        <v>80</v>
      </c>
      <c r="E45" s="49">
        <f t="shared" si="1"/>
        <v>0</v>
      </c>
      <c r="F45" s="1"/>
    </row>
    <row r="46" spans="1:6" ht="21" x14ac:dyDescent="0.25">
      <c r="A46" s="50">
        <v>21</v>
      </c>
      <c r="B46" s="49" t="s">
        <v>45</v>
      </c>
      <c r="C46" s="49">
        <v>400</v>
      </c>
      <c r="D46" s="49">
        <v>400</v>
      </c>
      <c r="E46" s="49">
        <f t="shared" si="1"/>
        <v>0</v>
      </c>
      <c r="F46" s="1"/>
    </row>
    <row r="47" spans="1:6" ht="21" x14ac:dyDescent="0.25">
      <c r="A47" s="50">
        <v>22</v>
      </c>
      <c r="B47" s="49" t="s">
        <v>216</v>
      </c>
      <c r="C47" s="49">
        <v>544</v>
      </c>
      <c r="D47" s="49">
        <v>544</v>
      </c>
      <c r="E47" s="49">
        <f t="shared" si="1"/>
        <v>0</v>
      </c>
      <c r="F47" s="1"/>
    </row>
    <row r="48" spans="1:6" ht="21" x14ac:dyDescent="0.25">
      <c r="A48" s="50">
        <v>23</v>
      </c>
      <c r="B48" s="49" t="s">
        <v>47</v>
      </c>
      <c r="C48" s="49">
        <v>281</v>
      </c>
      <c r="D48" s="49">
        <v>281</v>
      </c>
      <c r="E48" s="49">
        <f t="shared" si="1"/>
        <v>0</v>
      </c>
      <c r="F48" s="1"/>
    </row>
    <row r="49" spans="1:6" ht="21" x14ac:dyDescent="0.25">
      <c r="A49" s="50">
        <v>24</v>
      </c>
      <c r="B49" s="49" t="s">
        <v>48</v>
      </c>
      <c r="C49" s="49">
        <v>267</v>
      </c>
      <c r="D49" s="49">
        <v>267</v>
      </c>
      <c r="E49" s="49">
        <f t="shared" si="1"/>
        <v>0</v>
      </c>
      <c r="F49" s="1"/>
    </row>
    <row r="50" spans="1:6" ht="21" x14ac:dyDescent="0.25">
      <c r="A50" s="51">
        <v>25</v>
      </c>
      <c r="B50" s="49" t="s">
        <v>49</v>
      </c>
      <c r="C50" s="49">
        <v>400</v>
      </c>
      <c r="D50" s="49">
        <v>400</v>
      </c>
      <c r="E50" s="49">
        <f t="shared" si="1"/>
        <v>0</v>
      </c>
      <c r="F50" s="1"/>
    </row>
    <row r="51" spans="1:6" ht="26" customHeight="1" x14ac:dyDescent="0.25">
      <c r="A51" s="357" t="s">
        <v>50</v>
      </c>
      <c r="B51" s="357"/>
      <c r="C51" s="357"/>
      <c r="D51" s="357"/>
      <c r="E51" s="357"/>
      <c r="F51" s="357"/>
    </row>
    <row r="52" spans="1:6" ht="21" x14ac:dyDescent="0.25">
      <c r="A52" s="50">
        <v>1</v>
      </c>
      <c r="B52" s="49" t="s">
        <v>51</v>
      </c>
      <c r="C52" s="49">
        <v>1</v>
      </c>
      <c r="D52" s="49">
        <v>1</v>
      </c>
      <c r="E52" s="49">
        <f t="shared" ref="E52:E60" si="2">D52-C52</f>
        <v>0</v>
      </c>
      <c r="F52" s="1"/>
    </row>
    <row r="53" spans="1:6" ht="21" x14ac:dyDescent="0.25">
      <c r="A53" s="50">
        <v>2</v>
      </c>
      <c r="B53" s="49" t="s">
        <v>52</v>
      </c>
      <c r="C53" s="49">
        <v>227</v>
      </c>
      <c r="D53" s="49">
        <v>227</v>
      </c>
      <c r="E53" s="49">
        <f t="shared" si="2"/>
        <v>0</v>
      </c>
      <c r="F53" s="1"/>
    </row>
    <row r="54" spans="1:6" ht="21" x14ac:dyDescent="0.25">
      <c r="A54" s="50">
        <v>3</v>
      </c>
      <c r="B54" s="49" t="s">
        <v>53</v>
      </c>
      <c r="C54" s="49">
        <v>169</v>
      </c>
      <c r="D54" s="49">
        <v>169</v>
      </c>
      <c r="E54" s="49">
        <f t="shared" si="2"/>
        <v>0</v>
      </c>
      <c r="F54" s="1"/>
    </row>
    <row r="55" spans="1:6" ht="21" x14ac:dyDescent="0.25">
      <c r="A55" s="50">
        <v>4</v>
      </c>
      <c r="B55" s="49" t="s">
        <v>54</v>
      </c>
      <c r="C55" s="49">
        <v>18</v>
      </c>
      <c r="D55" s="49">
        <v>18</v>
      </c>
      <c r="E55" s="49">
        <f t="shared" si="2"/>
        <v>0</v>
      </c>
      <c r="F55" s="1"/>
    </row>
    <row r="56" spans="1:6" ht="21" x14ac:dyDescent="0.25">
      <c r="A56" s="50">
        <v>5</v>
      </c>
      <c r="B56" s="49" t="s">
        <v>55</v>
      </c>
      <c r="C56" s="49">
        <v>0</v>
      </c>
      <c r="D56" s="49">
        <v>0</v>
      </c>
      <c r="E56" s="49">
        <f t="shared" si="2"/>
        <v>0</v>
      </c>
      <c r="F56" s="1"/>
    </row>
    <row r="57" spans="1:6" ht="21" x14ac:dyDescent="0.25">
      <c r="A57" s="50">
        <v>6</v>
      </c>
      <c r="B57" s="49" t="s">
        <v>56</v>
      </c>
      <c r="C57" s="49">
        <v>449</v>
      </c>
      <c r="D57" s="49">
        <v>449</v>
      </c>
      <c r="E57" s="49">
        <f t="shared" si="2"/>
        <v>0</v>
      </c>
      <c r="F57" s="1"/>
    </row>
    <row r="58" spans="1:6" ht="21" x14ac:dyDescent="0.25">
      <c r="A58" s="50">
        <v>7</v>
      </c>
      <c r="B58" s="49" t="s">
        <v>57</v>
      </c>
      <c r="C58" s="49">
        <v>14</v>
      </c>
      <c r="D58" s="49">
        <v>14</v>
      </c>
      <c r="E58" s="49">
        <f t="shared" si="2"/>
        <v>0</v>
      </c>
      <c r="F58" s="1"/>
    </row>
    <row r="59" spans="1:6" ht="21" x14ac:dyDescent="0.25">
      <c r="A59" s="50">
        <v>8</v>
      </c>
      <c r="B59" s="49" t="s">
        <v>58</v>
      </c>
      <c r="C59" s="49">
        <v>309</v>
      </c>
      <c r="D59" s="49">
        <v>309</v>
      </c>
      <c r="E59" s="49">
        <f t="shared" si="2"/>
        <v>0</v>
      </c>
      <c r="F59" s="1"/>
    </row>
    <row r="60" spans="1:6" ht="21" x14ac:dyDescent="0.25">
      <c r="A60" s="50">
        <v>9</v>
      </c>
      <c r="B60" s="49" t="s">
        <v>59</v>
      </c>
      <c r="C60" s="49">
        <v>24</v>
      </c>
      <c r="D60" s="49">
        <v>24</v>
      </c>
      <c r="E60" s="49">
        <f t="shared" si="2"/>
        <v>0</v>
      </c>
      <c r="F60" s="1"/>
    </row>
    <row r="61" spans="1:6" ht="21" x14ac:dyDescent="0.25">
      <c r="A61" s="357" t="s">
        <v>60</v>
      </c>
      <c r="B61" s="357"/>
      <c r="C61" s="357"/>
      <c r="D61" s="357"/>
      <c r="E61" s="357"/>
      <c r="F61" s="357"/>
    </row>
    <row r="62" spans="1:6" ht="21" x14ac:dyDescent="0.25">
      <c r="A62" s="50">
        <v>1</v>
      </c>
      <c r="B62" s="49" t="s">
        <v>217</v>
      </c>
      <c r="C62" s="49">
        <v>3</v>
      </c>
      <c r="D62" s="49">
        <v>3</v>
      </c>
      <c r="E62" s="49">
        <f t="shared" ref="E62:E82" si="3">D62-C62</f>
        <v>0</v>
      </c>
      <c r="F62" s="1"/>
    </row>
    <row r="63" spans="1:6" ht="21" x14ac:dyDescent="0.25">
      <c r="A63" s="50">
        <v>2</v>
      </c>
      <c r="B63" s="49" t="s">
        <v>218</v>
      </c>
      <c r="C63" s="49">
        <v>2</v>
      </c>
      <c r="D63" s="49">
        <v>2</v>
      </c>
      <c r="E63" s="49">
        <f t="shared" si="3"/>
        <v>0</v>
      </c>
      <c r="F63" s="1"/>
    </row>
    <row r="64" spans="1:6" ht="21" x14ac:dyDescent="0.25">
      <c r="A64" s="50">
        <v>3</v>
      </c>
      <c r="B64" s="49" t="s">
        <v>63</v>
      </c>
      <c r="C64" s="49">
        <v>0</v>
      </c>
      <c r="D64" s="49"/>
      <c r="E64" s="49">
        <f t="shared" si="3"/>
        <v>0</v>
      </c>
      <c r="F64" s="1"/>
    </row>
    <row r="65" spans="1:6" ht="21" x14ac:dyDescent="0.25">
      <c r="A65" s="50">
        <v>4</v>
      </c>
      <c r="B65" s="49" t="s">
        <v>219</v>
      </c>
      <c r="C65" s="49">
        <v>2</v>
      </c>
      <c r="D65" s="49">
        <v>2</v>
      </c>
      <c r="E65" s="49">
        <f t="shared" si="3"/>
        <v>0</v>
      </c>
      <c r="F65" s="1"/>
    </row>
    <row r="66" spans="1:6" ht="21" x14ac:dyDescent="0.25">
      <c r="A66" s="50">
        <v>5</v>
      </c>
      <c r="B66" s="49" t="s">
        <v>220</v>
      </c>
      <c r="C66" s="49">
        <v>0</v>
      </c>
      <c r="D66" s="49"/>
      <c r="E66" s="49">
        <f t="shared" si="3"/>
        <v>0</v>
      </c>
      <c r="F66" s="1"/>
    </row>
    <row r="67" spans="1:6" ht="21" x14ac:dyDescent="0.25">
      <c r="A67" s="50">
        <v>6</v>
      </c>
      <c r="B67" s="49" t="s">
        <v>66</v>
      </c>
      <c r="C67" s="49">
        <v>0</v>
      </c>
      <c r="D67" s="49"/>
      <c r="E67" s="49">
        <f t="shared" si="3"/>
        <v>0</v>
      </c>
      <c r="F67" s="1"/>
    </row>
    <row r="68" spans="1:6" ht="21" x14ac:dyDescent="0.25">
      <c r="A68" s="50">
        <v>7</v>
      </c>
      <c r="B68" s="49" t="s">
        <v>221</v>
      </c>
      <c r="C68" s="49">
        <v>2</v>
      </c>
      <c r="D68" s="49">
        <v>2</v>
      </c>
      <c r="E68" s="49">
        <f t="shared" si="3"/>
        <v>0</v>
      </c>
      <c r="F68" s="1"/>
    </row>
    <row r="69" spans="1:6" ht="21" x14ac:dyDescent="0.25">
      <c r="A69" s="50">
        <v>8</v>
      </c>
      <c r="B69" s="49" t="s">
        <v>222</v>
      </c>
      <c r="C69" s="49">
        <v>4</v>
      </c>
      <c r="D69" s="49">
        <v>4</v>
      </c>
      <c r="E69" s="49">
        <f t="shared" si="3"/>
        <v>0</v>
      </c>
      <c r="F69" s="1"/>
    </row>
    <row r="70" spans="1:6" ht="21" x14ac:dyDescent="0.25">
      <c r="A70" s="50">
        <v>9</v>
      </c>
      <c r="B70" s="49" t="s">
        <v>69</v>
      </c>
      <c r="C70" s="49">
        <v>23</v>
      </c>
      <c r="D70" s="49">
        <v>23</v>
      </c>
      <c r="E70" s="49">
        <f t="shared" si="3"/>
        <v>0</v>
      </c>
      <c r="F70" s="1"/>
    </row>
    <row r="71" spans="1:6" ht="21" x14ac:dyDescent="0.25">
      <c r="A71" s="50">
        <v>10</v>
      </c>
      <c r="B71" s="49" t="s">
        <v>70</v>
      </c>
      <c r="C71" s="49">
        <v>7</v>
      </c>
      <c r="D71" s="49">
        <v>7</v>
      </c>
      <c r="E71" s="49">
        <f t="shared" si="3"/>
        <v>0</v>
      </c>
      <c r="F71" s="1"/>
    </row>
    <row r="72" spans="1:6" ht="21" x14ac:dyDescent="0.25">
      <c r="A72" s="50">
        <v>11</v>
      </c>
      <c r="B72" s="49" t="s">
        <v>71</v>
      </c>
      <c r="C72" s="49">
        <v>2</v>
      </c>
      <c r="D72" s="49">
        <v>2</v>
      </c>
      <c r="E72" s="49">
        <f t="shared" si="3"/>
        <v>0</v>
      </c>
      <c r="F72" s="1"/>
    </row>
    <row r="73" spans="1:6" ht="21" x14ac:dyDescent="0.25">
      <c r="A73" s="50">
        <v>12</v>
      </c>
      <c r="B73" s="49" t="s">
        <v>72</v>
      </c>
      <c r="C73" s="49">
        <v>5</v>
      </c>
      <c r="D73" s="49">
        <v>5</v>
      </c>
      <c r="E73" s="49">
        <f t="shared" si="3"/>
        <v>0</v>
      </c>
      <c r="F73" s="1"/>
    </row>
    <row r="74" spans="1:6" ht="21" x14ac:dyDescent="0.25">
      <c r="A74" s="50">
        <v>13</v>
      </c>
      <c r="B74" s="49" t="s">
        <v>73</v>
      </c>
      <c r="C74" s="49">
        <v>2</v>
      </c>
      <c r="D74" s="49">
        <v>2</v>
      </c>
      <c r="E74" s="49">
        <f t="shared" si="3"/>
        <v>0</v>
      </c>
      <c r="F74" s="1"/>
    </row>
    <row r="75" spans="1:6" ht="44" x14ac:dyDescent="0.25">
      <c r="A75" s="50">
        <v>14</v>
      </c>
      <c r="B75" s="49" t="s">
        <v>74</v>
      </c>
      <c r="C75" s="49">
        <v>7</v>
      </c>
      <c r="D75" s="49">
        <v>6</v>
      </c>
      <c r="E75" s="49">
        <f t="shared" si="3"/>
        <v>-1</v>
      </c>
      <c r="F75" s="1" t="s">
        <v>223</v>
      </c>
    </row>
    <row r="76" spans="1:6" ht="21" x14ac:dyDescent="0.25">
      <c r="A76" s="50">
        <v>15</v>
      </c>
      <c r="B76" s="49" t="s">
        <v>75</v>
      </c>
      <c r="C76" s="49">
        <v>21</v>
      </c>
      <c r="D76" s="49">
        <v>21</v>
      </c>
      <c r="E76" s="49">
        <f t="shared" si="3"/>
        <v>0</v>
      </c>
      <c r="F76" s="1"/>
    </row>
    <row r="77" spans="1:6" customFormat="1" ht="21" x14ac:dyDescent="0.25">
      <c r="A77" s="50">
        <v>16</v>
      </c>
      <c r="B77" s="49" t="s">
        <v>76</v>
      </c>
      <c r="C77" s="49">
        <v>0</v>
      </c>
      <c r="D77" s="49"/>
      <c r="E77" s="49">
        <f t="shared" si="3"/>
        <v>0</v>
      </c>
      <c r="F77" s="1"/>
    </row>
    <row r="78" spans="1:6" ht="21" x14ac:dyDescent="0.25">
      <c r="A78" s="50">
        <v>17</v>
      </c>
      <c r="B78" s="49" t="s">
        <v>77</v>
      </c>
      <c r="C78" s="49">
        <v>0</v>
      </c>
      <c r="D78" s="49"/>
      <c r="E78" s="49">
        <f t="shared" si="3"/>
        <v>0</v>
      </c>
      <c r="F78" s="1"/>
    </row>
    <row r="79" spans="1:6" ht="21" x14ac:dyDescent="0.25">
      <c r="A79" s="50">
        <v>18</v>
      </c>
      <c r="B79" s="49" t="s">
        <v>78</v>
      </c>
      <c r="C79" s="49">
        <v>0</v>
      </c>
      <c r="D79" s="49"/>
      <c r="E79" s="49">
        <f t="shared" si="3"/>
        <v>0</v>
      </c>
      <c r="F79" s="1"/>
    </row>
    <row r="80" spans="1:6" ht="21" x14ac:dyDescent="0.25">
      <c r="A80" s="50">
        <v>19</v>
      </c>
      <c r="B80" s="49" t="s">
        <v>79</v>
      </c>
      <c r="C80" s="49">
        <v>0</v>
      </c>
      <c r="D80" s="49"/>
      <c r="E80" s="49">
        <f t="shared" si="3"/>
        <v>0</v>
      </c>
      <c r="F80" s="1"/>
    </row>
    <row r="81" spans="1:6" ht="21" x14ac:dyDescent="0.25">
      <c r="A81" s="50">
        <v>20</v>
      </c>
      <c r="B81" s="49" t="s">
        <v>80</v>
      </c>
      <c r="C81" s="49">
        <v>0</v>
      </c>
      <c r="D81" s="49"/>
      <c r="E81" s="49">
        <f t="shared" si="3"/>
        <v>0</v>
      </c>
      <c r="F81" s="1"/>
    </row>
    <row r="82" spans="1:6" ht="21" x14ac:dyDescent="0.25">
      <c r="A82" s="50">
        <v>21</v>
      </c>
      <c r="B82" s="49" t="s">
        <v>81</v>
      </c>
      <c r="C82" s="49">
        <v>0</v>
      </c>
      <c r="D82" s="49"/>
      <c r="E82" s="49">
        <f t="shared" si="3"/>
        <v>0</v>
      </c>
      <c r="F82" s="1"/>
    </row>
    <row r="83" spans="1:6" ht="26" customHeight="1" x14ac:dyDescent="0.25">
      <c r="A83" s="357" t="s">
        <v>82</v>
      </c>
      <c r="B83" s="357"/>
      <c r="C83" s="357"/>
      <c r="D83" s="357"/>
      <c r="E83" s="357"/>
      <c r="F83" s="357"/>
    </row>
    <row r="84" spans="1:6" ht="21" x14ac:dyDescent="0.25">
      <c r="A84" s="50">
        <v>1</v>
      </c>
      <c r="B84" s="49" t="s">
        <v>83</v>
      </c>
      <c r="C84" s="49">
        <v>40</v>
      </c>
      <c r="D84" s="49">
        <v>40</v>
      </c>
      <c r="E84" s="49">
        <f t="shared" ref="E84:E121" si="4">D84-C84</f>
        <v>0</v>
      </c>
      <c r="F84" s="1"/>
    </row>
    <row r="85" spans="1:6" ht="21" x14ac:dyDescent="0.25">
      <c r="A85" s="50">
        <v>2</v>
      </c>
      <c r="B85" s="49" t="s">
        <v>84</v>
      </c>
      <c r="C85" s="49">
        <v>20</v>
      </c>
      <c r="D85" s="49">
        <v>20</v>
      </c>
      <c r="E85" s="49">
        <f t="shared" si="4"/>
        <v>0</v>
      </c>
      <c r="F85" s="1"/>
    </row>
    <row r="86" spans="1:6" ht="21" x14ac:dyDescent="0.25">
      <c r="A86" s="50">
        <v>3</v>
      </c>
      <c r="B86" s="49" t="s">
        <v>85</v>
      </c>
      <c r="C86" s="49">
        <v>2</v>
      </c>
      <c r="D86" s="49">
        <v>2</v>
      </c>
      <c r="E86" s="49">
        <f t="shared" si="4"/>
        <v>0</v>
      </c>
      <c r="F86" s="1"/>
    </row>
    <row r="87" spans="1:6" ht="21" x14ac:dyDescent="0.25">
      <c r="A87" s="50">
        <v>4</v>
      </c>
      <c r="B87" s="49" t="s">
        <v>86</v>
      </c>
      <c r="C87" s="49">
        <v>16</v>
      </c>
      <c r="D87" s="49">
        <v>16</v>
      </c>
      <c r="E87" s="49">
        <f t="shared" si="4"/>
        <v>0</v>
      </c>
      <c r="F87" s="1"/>
    </row>
    <row r="88" spans="1:6" ht="22" x14ac:dyDescent="0.25">
      <c r="A88" s="50">
        <v>5</v>
      </c>
      <c r="B88" s="49" t="s">
        <v>87</v>
      </c>
      <c r="C88" s="49">
        <v>23</v>
      </c>
      <c r="D88" s="49">
        <v>24</v>
      </c>
      <c r="E88" s="49">
        <f t="shared" si="4"/>
        <v>1</v>
      </c>
      <c r="F88" s="1" t="s">
        <v>215</v>
      </c>
    </row>
    <row r="89" spans="1:6" ht="21" x14ac:dyDescent="0.25">
      <c r="A89" s="50">
        <v>6</v>
      </c>
      <c r="B89" s="49" t="s">
        <v>88</v>
      </c>
      <c r="C89" s="49">
        <v>47</v>
      </c>
      <c r="D89" s="49">
        <v>47</v>
      </c>
      <c r="E89" s="49">
        <f t="shared" si="4"/>
        <v>0</v>
      </c>
      <c r="F89" s="1"/>
    </row>
    <row r="90" spans="1:6" ht="21" x14ac:dyDescent="0.25">
      <c r="A90" s="50">
        <v>7</v>
      </c>
      <c r="B90" s="49" t="s">
        <v>89</v>
      </c>
      <c r="C90" s="49">
        <v>10</v>
      </c>
      <c r="D90" s="49">
        <v>10</v>
      </c>
      <c r="E90" s="49">
        <f t="shared" si="4"/>
        <v>0</v>
      </c>
      <c r="F90" s="1"/>
    </row>
    <row r="91" spans="1:6" ht="21" x14ac:dyDescent="0.25">
      <c r="A91" s="50">
        <v>8</v>
      </c>
      <c r="B91" s="49" t="s">
        <v>90</v>
      </c>
      <c r="C91" s="49">
        <v>7</v>
      </c>
      <c r="D91" s="49">
        <v>7</v>
      </c>
      <c r="E91" s="49">
        <f t="shared" si="4"/>
        <v>0</v>
      </c>
      <c r="F91" s="1"/>
    </row>
    <row r="92" spans="1:6" ht="22" x14ac:dyDescent="0.25">
      <c r="A92" s="50">
        <v>9</v>
      </c>
      <c r="B92" s="49" t="s">
        <v>91</v>
      </c>
      <c r="C92" s="49">
        <v>8</v>
      </c>
      <c r="D92" s="49">
        <v>7</v>
      </c>
      <c r="E92" s="49">
        <f t="shared" si="4"/>
        <v>-1</v>
      </c>
      <c r="F92" s="1" t="s">
        <v>215</v>
      </c>
    </row>
    <row r="93" spans="1:6" ht="21" x14ac:dyDescent="0.25">
      <c r="A93" s="50">
        <v>10</v>
      </c>
      <c r="B93" s="49" t="s">
        <v>92</v>
      </c>
      <c r="C93" s="49">
        <v>42</v>
      </c>
      <c r="D93" s="49">
        <v>42</v>
      </c>
      <c r="E93" s="49">
        <f t="shared" si="4"/>
        <v>0</v>
      </c>
      <c r="F93" s="1"/>
    </row>
    <row r="94" spans="1:6" ht="21" x14ac:dyDescent="0.25">
      <c r="A94" s="50">
        <v>11</v>
      </c>
      <c r="B94" s="49" t="s">
        <v>93</v>
      </c>
      <c r="C94" s="49">
        <v>72</v>
      </c>
      <c r="D94" s="49">
        <v>72</v>
      </c>
      <c r="E94" s="49">
        <f t="shared" si="4"/>
        <v>0</v>
      </c>
      <c r="F94" s="1"/>
    </row>
    <row r="95" spans="1:6" ht="21" x14ac:dyDescent="0.25">
      <c r="A95" s="50">
        <v>12</v>
      </c>
      <c r="B95" s="49" t="s">
        <v>94</v>
      </c>
      <c r="C95" s="49">
        <v>44</v>
      </c>
      <c r="D95" s="49">
        <v>44</v>
      </c>
      <c r="E95" s="49">
        <f t="shared" si="4"/>
        <v>0</v>
      </c>
      <c r="F95" s="1"/>
    </row>
    <row r="96" spans="1:6" ht="22" x14ac:dyDescent="0.25">
      <c r="A96" s="50">
        <v>13</v>
      </c>
      <c r="B96" s="49" t="s">
        <v>95</v>
      </c>
      <c r="C96" s="49">
        <v>9</v>
      </c>
      <c r="D96" s="49">
        <v>8</v>
      </c>
      <c r="E96" s="49">
        <f t="shared" si="4"/>
        <v>-1</v>
      </c>
      <c r="F96" s="1" t="s">
        <v>224</v>
      </c>
    </row>
    <row r="97" spans="1:6" ht="21" x14ac:dyDescent="0.25">
      <c r="A97" s="50">
        <v>14</v>
      </c>
      <c r="B97" s="49" t="s">
        <v>96</v>
      </c>
      <c r="C97" s="49">
        <v>48</v>
      </c>
      <c r="D97" s="49">
        <v>49</v>
      </c>
      <c r="E97" s="49">
        <f t="shared" si="4"/>
        <v>1</v>
      </c>
      <c r="F97" s="1"/>
    </row>
    <row r="98" spans="1:6" ht="21" x14ac:dyDescent="0.25">
      <c r="A98" s="50">
        <v>15</v>
      </c>
      <c r="B98" s="49" t="s">
        <v>97</v>
      </c>
      <c r="C98" s="49">
        <v>0</v>
      </c>
      <c r="D98" s="49">
        <v>0</v>
      </c>
      <c r="E98" s="49">
        <f t="shared" si="4"/>
        <v>0</v>
      </c>
      <c r="F98" s="1"/>
    </row>
    <row r="99" spans="1:6" ht="21" x14ac:dyDescent="0.25">
      <c r="A99" s="50">
        <v>16</v>
      </c>
      <c r="B99" s="49" t="s">
        <v>98</v>
      </c>
      <c r="C99" s="49">
        <v>48</v>
      </c>
      <c r="D99" s="49">
        <v>48</v>
      </c>
      <c r="E99" s="49">
        <f t="shared" si="4"/>
        <v>0</v>
      </c>
      <c r="F99" s="1"/>
    </row>
    <row r="100" spans="1:6" ht="21" x14ac:dyDescent="0.25">
      <c r="A100" s="50">
        <v>17</v>
      </c>
      <c r="B100" s="49" t="s">
        <v>99</v>
      </c>
      <c r="C100" s="49">
        <v>110</v>
      </c>
      <c r="D100" s="49">
        <v>110</v>
      </c>
      <c r="E100" s="49">
        <f t="shared" si="4"/>
        <v>0</v>
      </c>
      <c r="F100" s="1"/>
    </row>
    <row r="101" spans="1:6" ht="21" x14ac:dyDescent="0.25">
      <c r="A101" s="50">
        <v>18</v>
      </c>
      <c r="B101" s="49" t="s">
        <v>100</v>
      </c>
      <c r="C101" s="49">
        <v>40</v>
      </c>
      <c r="D101" s="49">
        <v>40</v>
      </c>
      <c r="E101" s="49">
        <f t="shared" si="4"/>
        <v>0</v>
      </c>
      <c r="F101" s="1"/>
    </row>
    <row r="102" spans="1:6" ht="21" x14ac:dyDescent="0.25">
      <c r="A102" s="50">
        <v>19</v>
      </c>
      <c r="B102" s="49" t="s">
        <v>225</v>
      </c>
      <c r="C102" s="49">
        <v>41</v>
      </c>
      <c r="D102" s="49">
        <v>41</v>
      </c>
      <c r="E102" s="49">
        <f t="shared" si="4"/>
        <v>0</v>
      </c>
      <c r="F102" s="1"/>
    </row>
    <row r="103" spans="1:6" ht="21" x14ac:dyDescent="0.25">
      <c r="A103" s="50">
        <v>20</v>
      </c>
      <c r="B103" s="49" t="s">
        <v>102</v>
      </c>
      <c r="C103" s="49">
        <v>134</v>
      </c>
      <c r="D103" s="49">
        <v>134</v>
      </c>
      <c r="E103" s="49">
        <f t="shared" si="4"/>
        <v>0</v>
      </c>
      <c r="F103" s="1"/>
    </row>
    <row r="104" spans="1:6" ht="21" x14ac:dyDescent="0.25">
      <c r="A104" s="50">
        <v>21</v>
      </c>
      <c r="B104" s="49" t="s">
        <v>103</v>
      </c>
      <c r="C104" s="49">
        <v>39</v>
      </c>
      <c r="D104" s="49">
        <v>39</v>
      </c>
      <c r="E104" s="49">
        <f t="shared" si="4"/>
        <v>0</v>
      </c>
      <c r="F104" s="1"/>
    </row>
    <row r="105" spans="1:6" ht="21" x14ac:dyDescent="0.25">
      <c r="A105" s="50">
        <v>22</v>
      </c>
      <c r="B105" s="49" t="s">
        <v>226</v>
      </c>
      <c r="C105" s="49">
        <v>14</v>
      </c>
      <c r="D105" s="49">
        <v>14</v>
      </c>
      <c r="E105" s="49">
        <f t="shared" si="4"/>
        <v>0</v>
      </c>
      <c r="F105" s="1"/>
    </row>
    <row r="106" spans="1:6" ht="21" x14ac:dyDescent="0.25">
      <c r="A106" s="50">
        <v>23</v>
      </c>
      <c r="B106" s="49" t="s">
        <v>105</v>
      </c>
      <c r="C106" s="49">
        <v>47</v>
      </c>
      <c r="D106" s="49">
        <v>47</v>
      </c>
      <c r="E106" s="49">
        <f t="shared" si="4"/>
        <v>0</v>
      </c>
      <c r="F106" s="1"/>
    </row>
    <row r="107" spans="1:6" ht="21" x14ac:dyDescent="0.25">
      <c r="A107" s="50">
        <v>24</v>
      </c>
      <c r="B107" s="49" t="s">
        <v>106</v>
      </c>
      <c r="C107" s="49">
        <v>68</v>
      </c>
      <c r="D107" s="49">
        <v>68</v>
      </c>
      <c r="E107" s="49">
        <f t="shared" si="4"/>
        <v>0</v>
      </c>
      <c r="F107" s="1"/>
    </row>
    <row r="108" spans="1:6" ht="21" x14ac:dyDescent="0.25">
      <c r="A108" s="50">
        <v>25</v>
      </c>
      <c r="B108" s="49" t="s">
        <v>107</v>
      </c>
      <c r="C108" s="49">
        <v>19</v>
      </c>
      <c r="D108" s="49">
        <v>19</v>
      </c>
      <c r="E108" s="49">
        <f t="shared" si="4"/>
        <v>0</v>
      </c>
      <c r="F108" s="1"/>
    </row>
    <row r="109" spans="1:6" ht="21" x14ac:dyDescent="0.25">
      <c r="A109" s="50">
        <v>26</v>
      </c>
      <c r="B109" s="49" t="s">
        <v>108</v>
      </c>
      <c r="C109" s="49">
        <v>11</v>
      </c>
      <c r="D109" s="49">
        <v>11</v>
      </c>
      <c r="E109" s="49">
        <f t="shared" si="4"/>
        <v>0</v>
      </c>
      <c r="F109" s="1"/>
    </row>
    <row r="110" spans="1:6" ht="21" x14ac:dyDescent="0.25">
      <c r="A110" s="50">
        <v>27</v>
      </c>
      <c r="B110" s="49" t="s">
        <v>69</v>
      </c>
      <c r="C110" s="49">
        <v>0</v>
      </c>
      <c r="D110" s="49">
        <v>0</v>
      </c>
      <c r="E110" s="49">
        <f t="shared" si="4"/>
        <v>0</v>
      </c>
      <c r="F110" s="1"/>
    </row>
    <row r="111" spans="1:6" ht="21" x14ac:dyDescent="0.25">
      <c r="A111" s="50">
        <v>28</v>
      </c>
      <c r="B111" s="49" t="s">
        <v>109</v>
      </c>
      <c r="C111" s="49">
        <v>42</v>
      </c>
      <c r="D111" s="49">
        <v>42</v>
      </c>
      <c r="E111" s="49">
        <f t="shared" si="4"/>
        <v>0</v>
      </c>
      <c r="F111" s="1"/>
    </row>
    <row r="112" spans="1:6" ht="21" x14ac:dyDescent="0.25">
      <c r="A112" s="50">
        <v>29</v>
      </c>
      <c r="B112" s="49" t="s">
        <v>110</v>
      </c>
      <c r="C112" s="49">
        <v>6</v>
      </c>
      <c r="D112" s="49">
        <v>6</v>
      </c>
      <c r="E112" s="49">
        <f t="shared" si="4"/>
        <v>0</v>
      </c>
      <c r="F112" s="1"/>
    </row>
    <row r="113" spans="1:6" ht="21" x14ac:dyDescent="0.25">
      <c r="A113" s="50">
        <v>30</v>
      </c>
      <c r="B113" s="49" t="s">
        <v>111</v>
      </c>
      <c r="C113" s="49">
        <v>11</v>
      </c>
      <c r="D113" s="49">
        <v>11</v>
      </c>
      <c r="E113" s="49">
        <f t="shared" si="4"/>
        <v>0</v>
      </c>
      <c r="F113" s="1"/>
    </row>
    <row r="114" spans="1:6" ht="21" x14ac:dyDescent="0.25">
      <c r="A114" s="50">
        <v>31</v>
      </c>
      <c r="B114" s="49" t="s">
        <v>112</v>
      </c>
      <c r="C114" s="49">
        <v>8</v>
      </c>
      <c r="D114" s="49">
        <v>8</v>
      </c>
      <c r="E114" s="49">
        <f t="shared" si="4"/>
        <v>0</v>
      </c>
      <c r="F114" s="1"/>
    </row>
    <row r="115" spans="1:6" ht="21" x14ac:dyDescent="0.25">
      <c r="A115" s="50">
        <v>32</v>
      </c>
      <c r="B115" s="49" t="s">
        <v>113</v>
      </c>
      <c r="C115" s="49">
        <v>33</v>
      </c>
      <c r="D115" s="49">
        <v>33</v>
      </c>
      <c r="E115" s="49">
        <f t="shared" si="4"/>
        <v>0</v>
      </c>
      <c r="F115" s="1"/>
    </row>
    <row r="116" spans="1:6" customFormat="1" ht="21" x14ac:dyDescent="0.25">
      <c r="A116" s="50">
        <v>33</v>
      </c>
      <c r="B116" s="49" t="s">
        <v>114</v>
      </c>
      <c r="C116" s="49">
        <v>45</v>
      </c>
      <c r="D116" s="49">
        <v>45</v>
      </c>
      <c r="E116" s="49">
        <f t="shared" si="4"/>
        <v>0</v>
      </c>
      <c r="F116" s="1"/>
    </row>
    <row r="117" spans="1:6" ht="21" x14ac:dyDescent="0.25">
      <c r="A117" s="50">
        <v>34</v>
      </c>
      <c r="B117" s="49" t="s">
        <v>115</v>
      </c>
      <c r="C117" s="49">
        <v>0</v>
      </c>
      <c r="D117" s="49">
        <v>0</v>
      </c>
      <c r="E117" s="49">
        <f t="shared" si="4"/>
        <v>0</v>
      </c>
      <c r="F117" s="1"/>
    </row>
    <row r="118" spans="1:6" ht="21" x14ac:dyDescent="0.25">
      <c r="A118" s="50">
        <v>35</v>
      </c>
      <c r="B118" s="49" t="s">
        <v>116</v>
      </c>
      <c r="C118" s="49">
        <v>21</v>
      </c>
      <c r="D118" s="49">
        <v>21</v>
      </c>
      <c r="E118" s="49">
        <f t="shared" si="4"/>
        <v>0</v>
      </c>
      <c r="F118" s="1"/>
    </row>
    <row r="119" spans="1:6" customFormat="1" ht="21" x14ac:dyDescent="0.25">
      <c r="A119" s="50">
        <v>36</v>
      </c>
      <c r="B119" s="49" t="s">
        <v>117</v>
      </c>
      <c r="C119" s="49">
        <v>15</v>
      </c>
      <c r="D119" s="49">
        <v>15</v>
      </c>
      <c r="E119" s="49">
        <f t="shared" si="4"/>
        <v>0</v>
      </c>
      <c r="F119" s="1"/>
    </row>
    <row r="120" spans="1:6" ht="21" x14ac:dyDescent="0.25">
      <c r="A120" s="50">
        <v>37</v>
      </c>
      <c r="B120" s="49" t="s">
        <v>118</v>
      </c>
      <c r="C120" s="49">
        <v>0</v>
      </c>
      <c r="D120" s="49">
        <v>0</v>
      </c>
      <c r="E120" s="49">
        <f t="shared" si="4"/>
        <v>0</v>
      </c>
      <c r="F120" s="1"/>
    </row>
    <row r="121" spans="1:6" ht="21" x14ac:dyDescent="0.25">
      <c r="A121" s="50">
        <v>38</v>
      </c>
      <c r="B121" s="49" t="s">
        <v>119</v>
      </c>
      <c r="C121" s="49">
        <v>30</v>
      </c>
      <c r="D121" s="49">
        <v>30</v>
      </c>
      <c r="E121" s="49">
        <f t="shared" si="4"/>
        <v>0</v>
      </c>
      <c r="F121" s="1"/>
    </row>
    <row r="122" spans="1:6" ht="26" customHeight="1" x14ac:dyDescent="0.25">
      <c r="A122" s="357" t="s">
        <v>120</v>
      </c>
      <c r="B122" s="357"/>
      <c r="C122" s="357"/>
      <c r="D122" s="357"/>
      <c r="E122" s="357"/>
      <c r="F122" s="357"/>
    </row>
    <row r="123" spans="1:6" ht="21" x14ac:dyDescent="0.25">
      <c r="A123" s="50">
        <v>1</v>
      </c>
      <c r="B123" s="49" t="s">
        <v>121</v>
      </c>
      <c r="C123" s="49">
        <v>1</v>
      </c>
      <c r="D123" s="49">
        <v>1</v>
      </c>
      <c r="E123" s="49">
        <f>D123-C123</f>
        <v>0</v>
      </c>
      <c r="F123" s="1"/>
    </row>
    <row r="124" spans="1:6" ht="21" x14ac:dyDescent="0.25">
      <c r="A124" s="50">
        <v>2</v>
      </c>
      <c r="B124" s="49" t="s">
        <v>123</v>
      </c>
      <c r="C124" s="49">
        <v>8</v>
      </c>
      <c r="D124" s="49">
        <v>8</v>
      </c>
      <c r="E124" s="49">
        <f>D124-C124</f>
        <v>0</v>
      </c>
      <c r="F124" s="1"/>
    </row>
    <row r="125" spans="1:6" ht="26" customHeight="1" x14ac:dyDescent="0.25">
      <c r="A125" s="357" t="s">
        <v>124</v>
      </c>
      <c r="B125" s="357"/>
      <c r="C125" s="357"/>
      <c r="D125" s="357"/>
      <c r="E125" s="357"/>
      <c r="F125" s="357"/>
    </row>
    <row r="126" spans="1:6" ht="18.75" customHeight="1" x14ac:dyDescent="0.25">
      <c r="A126" s="50">
        <v>1</v>
      </c>
      <c r="B126" s="49" t="s">
        <v>125</v>
      </c>
      <c r="C126" s="49">
        <v>5</v>
      </c>
      <c r="D126" s="49">
        <v>5</v>
      </c>
      <c r="E126" s="49">
        <f t="shared" ref="E126:E157" si="5">D126-C126</f>
        <v>0</v>
      </c>
      <c r="F126" s="356" t="s">
        <v>227</v>
      </c>
    </row>
    <row r="127" spans="1:6" ht="21" x14ac:dyDescent="0.25">
      <c r="A127" s="50">
        <v>2</v>
      </c>
      <c r="B127" s="49" t="s">
        <v>126</v>
      </c>
      <c r="C127" s="49">
        <v>21</v>
      </c>
      <c r="D127" s="49">
        <v>21</v>
      </c>
      <c r="E127" s="49">
        <f t="shared" si="5"/>
        <v>0</v>
      </c>
      <c r="F127" s="356"/>
    </row>
    <row r="128" spans="1:6" ht="21" x14ac:dyDescent="0.25">
      <c r="A128" s="50">
        <v>3</v>
      </c>
      <c r="B128" s="49" t="s">
        <v>127</v>
      </c>
      <c r="C128" s="49">
        <v>11</v>
      </c>
      <c r="D128" s="49">
        <v>10</v>
      </c>
      <c r="E128" s="49">
        <f t="shared" si="5"/>
        <v>-1</v>
      </c>
      <c r="F128" s="356"/>
    </row>
    <row r="129" spans="1:6" ht="21" x14ac:dyDescent="0.25">
      <c r="A129" s="50">
        <v>4</v>
      </c>
      <c r="B129" s="49" t="s">
        <v>128</v>
      </c>
      <c r="C129" s="49">
        <v>19</v>
      </c>
      <c r="D129" s="49">
        <v>19</v>
      </c>
      <c r="E129" s="49">
        <f t="shared" si="5"/>
        <v>0</v>
      </c>
      <c r="F129" s="356"/>
    </row>
    <row r="130" spans="1:6" ht="21" x14ac:dyDescent="0.25">
      <c r="A130" s="50">
        <v>5</v>
      </c>
      <c r="B130" s="49" t="s">
        <v>129</v>
      </c>
      <c r="C130" s="49">
        <v>5</v>
      </c>
      <c r="D130" s="49">
        <v>5</v>
      </c>
      <c r="E130" s="49">
        <f t="shared" si="5"/>
        <v>0</v>
      </c>
      <c r="F130" s="356"/>
    </row>
    <row r="131" spans="1:6" ht="21" x14ac:dyDescent="0.25">
      <c r="A131" s="50">
        <v>6</v>
      </c>
      <c r="B131" s="49" t="s">
        <v>130</v>
      </c>
      <c r="C131" s="49">
        <v>21</v>
      </c>
      <c r="D131" s="49">
        <v>21</v>
      </c>
      <c r="E131" s="49">
        <f t="shared" si="5"/>
        <v>0</v>
      </c>
      <c r="F131" s="356"/>
    </row>
    <row r="132" spans="1:6" ht="21" x14ac:dyDescent="0.25">
      <c r="A132" s="50">
        <v>7</v>
      </c>
      <c r="B132" s="49" t="s">
        <v>131</v>
      </c>
      <c r="C132" s="49">
        <v>29</v>
      </c>
      <c r="D132" s="49">
        <v>32</v>
      </c>
      <c r="E132" s="49">
        <f t="shared" si="5"/>
        <v>3</v>
      </c>
      <c r="F132" s="356"/>
    </row>
    <row r="133" spans="1:6" ht="21" x14ac:dyDescent="0.25">
      <c r="A133" s="50">
        <v>8</v>
      </c>
      <c r="B133" s="49" t="s">
        <v>132</v>
      </c>
      <c r="C133" s="49">
        <v>50</v>
      </c>
      <c r="D133" s="49">
        <v>50</v>
      </c>
      <c r="E133" s="49">
        <f t="shared" si="5"/>
        <v>0</v>
      </c>
      <c r="F133" s="356"/>
    </row>
    <row r="134" spans="1:6" ht="21" x14ac:dyDescent="0.25">
      <c r="A134" s="50">
        <v>9</v>
      </c>
      <c r="B134" s="49" t="s">
        <v>133</v>
      </c>
      <c r="C134" s="49">
        <v>55</v>
      </c>
      <c r="D134" s="49">
        <v>54</v>
      </c>
      <c r="E134" s="49">
        <f t="shared" si="5"/>
        <v>-1</v>
      </c>
      <c r="F134" s="356"/>
    </row>
    <row r="135" spans="1:6" ht="21" x14ac:dyDescent="0.25">
      <c r="A135" s="50">
        <v>10</v>
      </c>
      <c r="B135" s="49" t="s">
        <v>134</v>
      </c>
      <c r="C135" s="49">
        <v>45</v>
      </c>
      <c r="D135" s="49">
        <v>45</v>
      </c>
      <c r="E135" s="49">
        <f t="shared" si="5"/>
        <v>0</v>
      </c>
      <c r="F135" s="356"/>
    </row>
    <row r="136" spans="1:6" ht="21" x14ac:dyDescent="0.25">
      <c r="A136" s="50">
        <v>11</v>
      </c>
      <c r="B136" s="49" t="s">
        <v>135</v>
      </c>
      <c r="C136" s="49">
        <v>11</v>
      </c>
      <c r="D136" s="49">
        <v>11</v>
      </c>
      <c r="E136" s="49">
        <f t="shared" si="5"/>
        <v>0</v>
      </c>
      <c r="F136" s="356"/>
    </row>
    <row r="137" spans="1:6" ht="21" x14ac:dyDescent="0.25">
      <c r="A137" s="50">
        <v>12</v>
      </c>
      <c r="B137" s="49" t="s">
        <v>136</v>
      </c>
      <c r="C137" s="49">
        <v>10</v>
      </c>
      <c r="D137" s="49">
        <v>10</v>
      </c>
      <c r="E137" s="49">
        <f t="shared" si="5"/>
        <v>0</v>
      </c>
      <c r="F137" s="356"/>
    </row>
    <row r="138" spans="1:6" ht="21" x14ac:dyDescent="0.25">
      <c r="A138" s="50">
        <v>13</v>
      </c>
      <c r="B138" s="49" t="s">
        <v>137</v>
      </c>
      <c r="C138" s="49">
        <v>11</v>
      </c>
      <c r="D138" s="49">
        <v>11</v>
      </c>
      <c r="E138" s="49">
        <f t="shared" si="5"/>
        <v>0</v>
      </c>
      <c r="F138" s="356"/>
    </row>
    <row r="139" spans="1:6" ht="21" x14ac:dyDescent="0.25">
      <c r="A139" s="50">
        <v>14</v>
      </c>
      <c r="B139" s="49" t="s">
        <v>138</v>
      </c>
      <c r="C139" s="49">
        <v>9</v>
      </c>
      <c r="D139" s="49">
        <v>9</v>
      </c>
      <c r="E139" s="49">
        <f t="shared" si="5"/>
        <v>0</v>
      </c>
      <c r="F139" s="356"/>
    </row>
    <row r="140" spans="1:6" ht="21" x14ac:dyDescent="0.25">
      <c r="A140" s="50">
        <v>15</v>
      </c>
      <c r="B140" s="49" t="s">
        <v>139</v>
      </c>
      <c r="C140" s="49">
        <v>14</v>
      </c>
      <c r="D140" s="49">
        <v>14</v>
      </c>
      <c r="E140" s="49">
        <f t="shared" si="5"/>
        <v>0</v>
      </c>
      <c r="F140" s="356"/>
    </row>
    <row r="141" spans="1:6" ht="21" x14ac:dyDescent="0.25">
      <c r="A141" s="50">
        <v>16</v>
      </c>
      <c r="B141" s="49" t="s">
        <v>140</v>
      </c>
      <c r="C141" s="49">
        <v>6</v>
      </c>
      <c r="D141" s="49">
        <v>6</v>
      </c>
      <c r="E141" s="49">
        <f t="shared" si="5"/>
        <v>0</v>
      </c>
      <c r="F141" s="356"/>
    </row>
    <row r="142" spans="1:6" ht="21" x14ac:dyDescent="0.25">
      <c r="A142" s="50">
        <v>17</v>
      </c>
      <c r="B142" s="49" t="s">
        <v>141</v>
      </c>
      <c r="C142" s="49">
        <v>6</v>
      </c>
      <c r="D142" s="49">
        <v>6</v>
      </c>
      <c r="E142" s="49">
        <f t="shared" si="5"/>
        <v>0</v>
      </c>
      <c r="F142" s="356"/>
    </row>
    <row r="143" spans="1:6" ht="21" x14ac:dyDescent="0.25">
      <c r="A143" s="50">
        <v>18</v>
      </c>
      <c r="B143" s="49" t="s">
        <v>142</v>
      </c>
      <c r="C143" s="49">
        <v>0</v>
      </c>
      <c r="D143" s="49">
        <v>0</v>
      </c>
      <c r="E143" s="49">
        <f t="shared" si="5"/>
        <v>0</v>
      </c>
      <c r="F143" s="356"/>
    </row>
    <row r="144" spans="1:6" ht="21" x14ac:dyDescent="0.25">
      <c r="A144" s="50">
        <v>19</v>
      </c>
      <c r="B144" s="49" t="s">
        <v>143</v>
      </c>
      <c r="C144" s="49">
        <v>2</v>
      </c>
      <c r="D144" s="49">
        <v>3</v>
      </c>
      <c r="E144" s="49">
        <f t="shared" si="5"/>
        <v>1</v>
      </c>
      <c r="F144" s="356"/>
    </row>
    <row r="145" spans="1:6" ht="21" x14ac:dyDescent="0.25">
      <c r="A145" s="50">
        <v>20</v>
      </c>
      <c r="B145" s="49" t="s">
        <v>144</v>
      </c>
      <c r="C145" s="49">
        <v>1</v>
      </c>
      <c r="D145" s="49">
        <v>1</v>
      </c>
      <c r="E145" s="49">
        <f t="shared" si="5"/>
        <v>0</v>
      </c>
      <c r="F145" s="356"/>
    </row>
    <row r="146" spans="1:6" ht="21" x14ac:dyDescent="0.25">
      <c r="A146" s="50">
        <v>21</v>
      </c>
      <c r="B146" s="49" t="s">
        <v>145</v>
      </c>
      <c r="C146" s="49">
        <v>4</v>
      </c>
      <c r="D146" s="49">
        <v>4</v>
      </c>
      <c r="E146" s="49">
        <f t="shared" si="5"/>
        <v>0</v>
      </c>
      <c r="F146" s="356"/>
    </row>
    <row r="147" spans="1:6" ht="21" x14ac:dyDescent="0.25">
      <c r="A147" s="50">
        <v>22</v>
      </c>
      <c r="B147" s="49" t="s">
        <v>146</v>
      </c>
      <c r="C147" s="49">
        <v>1</v>
      </c>
      <c r="D147" s="49">
        <v>1</v>
      </c>
      <c r="E147" s="49">
        <f t="shared" si="5"/>
        <v>0</v>
      </c>
      <c r="F147" s="356"/>
    </row>
    <row r="148" spans="1:6" ht="21" x14ac:dyDescent="0.25">
      <c r="A148" s="50">
        <v>23</v>
      </c>
      <c r="B148" s="49" t="s">
        <v>147</v>
      </c>
      <c r="C148" s="49">
        <v>5</v>
      </c>
      <c r="D148" s="49">
        <v>5</v>
      </c>
      <c r="E148" s="49">
        <f t="shared" si="5"/>
        <v>0</v>
      </c>
      <c r="F148" s="356"/>
    </row>
    <row r="149" spans="1:6" ht="21" x14ac:dyDescent="0.25">
      <c r="A149" s="50">
        <v>24</v>
      </c>
      <c r="B149" s="49" t="s">
        <v>148</v>
      </c>
      <c r="C149" s="49">
        <v>1</v>
      </c>
      <c r="D149" s="49">
        <v>1</v>
      </c>
      <c r="E149" s="49">
        <f t="shared" si="5"/>
        <v>0</v>
      </c>
      <c r="F149" s="356"/>
    </row>
    <row r="150" spans="1:6" ht="21" x14ac:dyDescent="0.25">
      <c r="A150" s="50">
        <v>25</v>
      </c>
      <c r="B150" s="49" t="s">
        <v>149</v>
      </c>
      <c r="C150" s="49">
        <v>3</v>
      </c>
      <c r="D150" s="49">
        <v>3</v>
      </c>
      <c r="E150" s="49">
        <f t="shared" si="5"/>
        <v>0</v>
      </c>
      <c r="F150" s="356"/>
    </row>
    <row r="151" spans="1:6" ht="21" x14ac:dyDescent="0.25">
      <c r="A151" s="50">
        <v>26</v>
      </c>
      <c r="B151" s="49" t="s">
        <v>150</v>
      </c>
      <c r="C151" s="49">
        <v>0</v>
      </c>
      <c r="D151" s="49">
        <v>0</v>
      </c>
      <c r="E151" s="49">
        <f t="shared" si="5"/>
        <v>0</v>
      </c>
      <c r="F151" s="356"/>
    </row>
    <row r="152" spans="1:6" ht="21" x14ac:dyDescent="0.25">
      <c r="A152" s="50">
        <v>27</v>
      </c>
      <c r="B152" s="49" t="s">
        <v>151</v>
      </c>
      <c r="C152" s="49">
        <v>2</v>
      </c>
      <c r="D152" s="49">
        <v>2</v>
      </c>
      <c r="E152" s="49">
        <f t="shared" si="5"/>
        <v>0</v>
      </c>
      <c r="F152" s="356"/>
    </row>
    <row r="153" spans="1:6" ht="21" x14ac:dyDescent="0.25">
      <c r="A153" s="50">
        <v>28</v>
      </c>
      <c r="B153" s="49" t="s">
        <v>152</v>
      </c>
      <c r="C153" s="49">
        <v>1</v>
      </c>
      <c r="D153" s="49">
        <v>1</v>
      </c>
      <c r="E153" s="49">
        <f t="shared" si="5"/>
        <v>0</v>
      </c>
      <c r="F153" s="356"/>
    </row>
    <row r="154" spans="1:6" ht="21" x14ac:dyDescent="0.25">
      <c r="A154" s="50">
        <v>29</v>
      </c>
      <c r="B154" s="49" t="s">
        <v>153</v>
      </c>
      <c r="C154" s="49">
        <v>1</v>
      </c>
      <c r="D154" s="57">
        <v>1</v>
      </c>
      <c r="E154" s="49">
        <f t="shared" si="5"/>
        <v>0</v>
      </c>
      <c r="F154" s="356"/>
    </row>
    <row r="155" spans="1:6" ht="21" x14ac:dyDescent="0.25">
      <c r="A155" s="50">
        <v>30</v>
      </c>
      <c r="B155" s="49" t="s">
        <v>154</v>
      </c>
      <c r="C155" s="49">
        <v>1</v>
      </c>
      <c r="D155" s="58">
        <v>1</v>
      </c>
      <c r="E155" s="49">
        <f t="shared" si="5"/>
        <v>0</v>
      </c>
      <c r="F155" s="356"/>
    </row>
    <row r="156" spans="1:6" ht="21" x14ac:dyDescent="0.25">
      <c r="A156" s="50">
        <v>31</v>
      </c>
      <c r="B156" s="49" t="s">
        <v>155</v>
      </c>
      <c r="C156" s="49">
        <v>0</v>
      </c>
      <c r="D156" s="58">
        <v>0</v>
      </c>
      <c r="E156" s="49">
        <f t="shared" si="5"/>
        <v>0</v>
      </c>
      <c r="F156" s="356"/>
    </row>
    <row r="157" spans="1:6" ht="21" x14ac:dyDescent="0.25">
      <c r="A157" s="50">
        <v>32</v>
      </c>
      <c r="B157" s="49" t="s">
        <v>156</v>
      </c>
      <c r="C157" s="49">
        <v>0</v>
      </c>
      <c r="D157" s="57">
        <v>0</v>
      </c>
      <c r="E157" s="49">
        <f t="shared" si="5"/>
        <v>0</v>
      </c>
      <c r="F157" s="356"/>
    </row>
    <row r="158" spans="1:6" ht="21" x14ac:dyDescent="0.25">
      <c r="A158" s="50">
        <v>33</v>
      </c>
      <c r="B158" s="49" t="s">
        <v>157</v>
      </c>
      <c r="C158" s="49">
        <v>0</v>
      </c>
      <c r="D158" s="49">
        <v>0</v>
      </c>
      <c r="E158" s="49">
        <f t="shared" ref="E158:E189" si="6">D158-C158</f>
        <v>0</v>
      </c>
      <c r="F158" s="356"/>
    </row>
    <row r="159" spans="1:6" ht="21" x14ac:dyDescent="0.25">
      <c r="A159" s="50">
        <v>34</v>
      </c>
      <c r="B159" s="49" t="s">
        <v>158</v>
      </c>
      <c r="C159" s="49">
        <v>0</v>
      </c>
      <c r="D159" s="49">
        <v>0</v>
      </c>
      <c r="E159" s="49">
        <f t="shared" si="6"/>
        <v>0</v>
      </c>
      <c r="F159" s="1"/>
    </row>
    <row r="160" spans="1:6" ht="21" x14ac:dyDescent="0.25">
      <c r="A160" s="50">
        <v>35</v>
      </c>
      <c r="B160" s="49" t="s">
        <v>159</v>
      </c>
      <c r="C160" s="49">
        <v>0</v>
      </c>
      <c r="D160" s="49">
        <v>0</v>
      </c>
      <c r="E160" s="49">
        <f t="shared" si="6"/>
        <v>0</v>
      </c>
      <c r="F160" s="1"/>
    </row>
    <row r="161" spans="1:6" ht="21" x14ac:dyDescent="0.25">
      <c r="A161" s="50">
        <v>36</v>
      </c>
      <c r="B161" s="49" t="s">
        <v>160</v>
      </c>
      <c r="C161" s="49">
        <v>0</v>
      </c>
      <c r="D161" s="49">
        <v>0</v>
      </c>
      <c r="E161" s="49">
        <f t="shared" si="6"/>
        <v>0</v>
      </c>
      <c r="F161" s="1"/>
    </row>
    <row r="162" spans="1:6" ht="21" x14ac:dyDescent="0.25">
      <c r="A162" s="50">
        <v>37</v>
      </c>
      <c r="B162" s="49" t="s">
        <v>161</v>
      </c>
      <c r="C162" s="49">
        <v>0</v>
      </c>
      <c r="D162" s="49">
        <v>0</v>
      </c>
      <c r="E162" s="49">
        <f t="shared" si="6"/>
        <v>0</v>
      </c>
      <c r="F162" s="1"/>
    </row>
    <row r="163" spans="1:6" ht="21" x14ac:dyDescent="0.25">
      <c r="A163" s="50">
        <v>38</v>
      </c>
      <c r="B163" s="49" t="s">
        <v>162</v>
      </c>
      <c r="C163" s="49">
        <v>0</v>
      </c>
      <c r="D163" s="49">
        <v>0</v>
      </c>
      <c r="E163" s="49">
        <f t="shared" si="6"/>
        <v>0</v>
      </c>
      <c r="F163" s="1"/>
    </row>
    <row r="164" spans="1:6" ht="21" x14ac:dyDescent="0.25">
      <c r="A164" s="50">
        <v>39</v>
      </c>
      <c r="B164" s="49" t="s">
        <v>163</v>
      </c>
      <c r="C164" s="49">
        <v>0</v>
      </c>
      <c r="D164" s="49">
        <v>0</v>
      </c>
      <c r="E164" s="49">
        <f t="shared" si="6"/>
        <v>0</v>
      </c>
      <c r="F164" s="1"/>
    </row>
    <row r="165" spans="1:6" ht="21" x14ac:dyDescent="0.25">
      <c r="A165" s="50">
        <v>40</v>
      </c>
      <c r="B165" s="49" t="s">
        <v>164</v>
      </c>
      <c r="C165" s="49">
        <v>3</v>
      </c>
      <c r="D165" s="49">
        <v>3</v>
      </c>
      <c r="E165" s="49">
        <f t="shared" si="6"/>
        <v>0</v>
      </c>
      <c r="F165" s="1"/>
    </row>
    <row r="166" spans="1:6" ht="21" x14ac:dyDescent="0.25">
      <c r="A166" s="50">
        <v>41</v>
      </c>
      <c r="B166" s="49" t="s">
        <v>165</v>
      </c>
      <c r="C166" s="49">
        <v>0</v>
      </c>
      <c r="D166" s="49">
        <v>0</v>
      </c>
      <c r="E166" s="49">
        <f t="shared" si="6"/>
        <v>0</v>
      </c>
      <c r="F166" s="1"/>
    </row>
    <row r="167" spans="1:6" ht="21" x14ac:dyDescent="0.25">
      <c r="A167" s="50">
        <v>42</v>
      </c>
      <c r="B167" s="49" t="s">
        <v>166</v>
      </c>
      <c r="C167" s="49">
        <v>4</v>
      </c>
      <c r="D167" s="49">
        <v>4</v>
      </c>
      <c r="E167" s="49">
        <f t="shared" si="6"/>
        <v>0</v>
      </c>
      <c r="F167" s="1"/>
    </row>
    <row r="168" spans="1:6" ht="21" x14ac:dyDescent="0.25">
      <c r="A168" s="50">
        <v>43</v>
      </c>
      <c r="B168" s="49" t="s">
        <v>167</v>
      </c>
      <c r="C168" s="49">
        <v>3</v>
      </c>
      <c r="D168" s="49">
        <v>3</v>
      </c>
      <c r="E168" s="49">
        <f t="shared" si="6"/>
        <v>0</v>
      </c>
      <c r="F168" s="1"/>
    </row>
    <row r="169" spans="1:6" ht="21" x14ac:dyDescent="0.25">
      <c r="A169" s="50">
        <v>44</v>
      </c>
      <c r="B169" s="49" t="s">
        <v>168</v>
      </c>
      <c r="C169" s="49">
        <v>0</v>
      </c>
      <c r="D169" s="49">
        <v>0</v>
      </c>
      <c r="E169" s="49">
        <f t="shared" si="6"/>
        <v>0</v>
      </c>
      <c r="F169" s="1"/>
    </row>
    <row r="170" spans="1:6" ht="21" x14ac:dyDescent="0.25">
      <c r="A170" s="50">
        <v>45</v>
      </c>
      <c r="B170" s="49" t="s">
        <v>169</v>
      </c>
      <c r="C170" s="49">
        <v>0</v>
      </c>
      <c r="D170" s="49">
        <v>0</v>
      </c>
      <c r="E170" s="49">
        <f t="shared" si="6"/>
        <v>0</v>
      </c>
      <c r="F170" s="1"/>
    </row>
    <row r="171" spans="1:6" ht="21" x14ac:dyDescent="0.25">
      <c r="A171" s="50">
        <v>46</v>
      </c>
      <c r="B171" s="49" t="s">
        <v>170</v>
      </c>
      <c r="C171" s="49">
        <v>2</v>
      </c>
      <c r="D171" s="49">
        <v>2</v>
      </c>
      <c r="E171" s="49">
        <f t="shared" si="6"/>
        <v>0</v>
      </c>
      <c r="F171" s="1"/>
    </row>
    <row r="172" spans="1:6" ht="21" x14ac:dyDescent="0.25">
      <c r="A172" s="50">
        <v>47</v>
      </c>
      <c r="B172" s="49" t="s">
        <v>171</v>
      </c>
      <c r="C172" s="49">
        <v>0</v>
      </c>
      <c r="D172" s="49">
        <v>0</v>
      </c>
      <c r="E172" s="49">
        <f t="shared" si="6"/>
        <v>0</v>
      </c>
      <c r="F172" s="1"/>
    </row>
    <row r="173" spans="1:6" ht="21" x14ac:dyDescent="0.25">
      <c r="A173" s="50">
        <v>48</v>
      </c>
      <c r="B173" s="49" t="s">
        <v>172</v>
      </c>
      <c r="C173" s="49">
        <v>0</v>
      </c>
      <c r="D173" s="49">
        <v>0</v>
      </c>
      <c r="E173" s="49">
        <f t="shared" si="6"/>
        <v>0</v>
      </c>
      <c r="F173" s="1"/>
    </row>
    <row r="174" spans="1:6" ht="21" x14ac:dyDescent="0.25">
      <c r="A174" s="50">
        <v>49</v>
      </c>
      <c r="B174" s="49" t="s">
        <v>173</v>
      </c>
      <c r="C174" s="49">
        <v>2</v>
      </c>
      <c r="D174" s="49">
        <v>2</v>
      </c>
      <c r="E174" s="49">
        <f t="shared" si="6"/>
        <v>0</v>
      </c>
      <c r="F174" s="1"/>
    </row>
    <row r="175" spans="1:6" ht="21" x14ac:dyDescent="0.25">
      <c r="A175" s="50">
        <v>50</v>
      </c>
      <c r="B175" s="49" t="s">
        <v>174</v>
      </c>
      <c r="C175" s="49">
        <v>3</v>
      </c>
      <c r="D175" s="49">
        <v>3</v>
      </c>
      <c r="E175" s="49">
        <f t="shared" si="6"/>
        <v>0</v>
      </c>
      <c r="F175" s="1"/>
    </row>
    <row r="176" spans="1:6" ht="21" x14ac:dyDescent="0.25">
      <c r="A176" s="50">
        <v>51</v>
      </c>
      <c r="B176" s="49" t="s">
        <v>175</v>
      </c>
      <c r="C176" s="49">
        <v>0</v>
      </c>
      <c r="D176" s="49">
        <v>0</v>
      </c>
      <c r="E176" s="49">
        <f t="shared" si="6"/>
        <v>0</v>
      </c>
      <c r="F176" s="1"/>
    </row>
    <row r="177" spans="1:6" ht="21" x14ac:dyDescent="0.25">
      <c r="A177" s="50">
        <v>52</v>
      </c>
      <c r="B177" s="49" t="s">
        <v>176</v>
      </c>
      <c r="C177" s="49">
        <v>3</v>
      </c>
      <c r="D177" s="49">
        <v>3</v>
      </c>
      <c r="E177" s="49">
        <f t="shared" si="6"/>
        <v>0</v>
      </c>
      <c r="F177" s="1"/>
    </row>
    <row r="178" spans="1:6" ht="21" x14ac:dyDescent="0.25">
      <c r="A178" s="50">
        <v>53</v>
      </c>
      <c r="B178" s="49" t="s">
        <v>177</v>
      </c>
      <c r="C178" s="49">
        <v>2</v>
      </c>
      <c r="D178" s="49">
        <v>2</v>
      </c>
      <c r="E178" s="49">
        <f t="shared" si="6"/>
        <v>0</v>
      </c>
      <c r="F178" s="1"/>
    </row>
    <row r="179" spans="1:6" ht="21" x14ac:dyDescent="0.25">
      <c r="A179" s="50">
        <v>54</v>
      </c>
      <c r="B179" s="49" t="s">
        <v>178</v>
      </c>
      <c r="C179" s="49">
        <v>0</v>
      </c>
      <c r="D179" s="49">
        <v>0</v>
      </c>
      <c r="E179" s="49">
        <f t="shared" si="6"/>
        <v>0</v>
      </c>
      <c r="F179" s="1"/>
    </row>
    <row r="180" spans="1:6" ht="21" x14ac:dyDescent="0.25">
      <c r="A180" s="50">
        <v>55</v>
      </c>
      <c r="B180" s="49" t="s">
        <v>179</v>
      </c>
      <c r="C180" s="49">
        <v>5</v>
      </c>
      <c r="D180" s="49">
        <v>5</v>
      </c>
      <c r="E180" s="49">
        <f t="shared" si="6"/>
        <v>0</v>
      </c>
      <c r="F180" s="1"/>
    </row>
    <row r="181" spans="1:6" ht="21" x14ac:dyDescent="0.25">
      <c r="A181" s="50">
        <v>56</v>
      </c>
      <c r="B181" s="49" t="s">
        <v>180</v>
      </c>
      <c r="C181" s="49">
        <v>2</v>
      </c>
      <c r="D181" s="49">
        <v>2</v>
      </c>
      <c r="E181" s="49">
        <f t="shared" si="6"/>
        <v>0</v>
      </c>
      <c r="F181" s="1"/>
    </row>
    <row r="182" spans="1:6" ht="21" x14ac:dyDescent="0.25">
      <c r="A182" s="50">
        <v>57</v>
      </c>
      <c r="B182" s="49" t="s">
        <v>181</v>
      </c>
      <c r="C182" s="49">
        <v>3</v>
      </c>
      <c r="D182" s="49">
        <v>3</v>
      </c>
      <c r="E182" s="49">
        <f t="shared" si="6"/>
        <v>0</v>
      </c>
      <c r="F182" s="1"/>
    </row>
    <row r="183" spans="1:6" ht="21" x14ac:dyDescent="0.25">
      <c r="A183" s="50">
        <v>58</v>
      </c>
      <c r="B183" s="49" t="s">
        <v>182</v>
      </c>
      <c r="C183" s="49">
        <v>1</v>
      </c>
      <c r="D183" s="49">
        <v>1</v>
      </c>
      <c r="E183" s="49">
        <f t="shared" si="6"/>
        <v>0</v>
      </c>
      <c r="F183" s="1"/>
    </row>
    <row r="184" spans="1:6" ht="21" x14ac:dyDescent="0.25">
      <c r="A184" s="50">
        <v>59</v>
      </c>
      <c r="B184" s="49" t="s">
        <v>183</v>
      </c>
      <c r="C184" s="49">
        <v>2</v>
      </c>
      <c r="D184" s="49">
        <v>2</v>
      </c>
      <c r="E184" s="49">
        <f t="shared" si="6"/>
        <v>0</v>
      </c>
      <c r="F184" s="1"/>
    </row>
    <row r="185" spans="1:6" ht="21" x14ac:dyDescent="0.25">
      <c r="A185" s="50">
        <v>60</v>
      </c>
      <c r="B185" s="49" t="s">
        <v>184</v>
      </c>
      <c r="C185" s="49">
        <v>1</v>
      </c>
      <c r="D185" s="49">
        <v>1</v>
      </c>
      <c r="E185" s="49">
        <f t="shared" si="6"/>
        <v>0</v>
      </c>
      <c r="F185" s="1"/>
    </row>
    <row r="186" spans="1:6" ht="21" x14ac:dyDescent="0.25">
      <c r="A186" s="50">
        <v>61</v>
      </c>
      <c r="B186" s="49" t="s">
        <v>185</v>
      </c>
      <c r="C186" s="49">
        <v>2</v>
      </c>
      <c r="D186" s="49">
        <v>2</v>
      </c>
      <c r="E186" s="49">
        <f t="shared" si="6"/>
        <v>0</v>
      </c>
      <c r="F186" s="1"/>
    </row>
    <row r="187" spans="1:6" ht="21" x14ac:dyDescent="0.25">
      <c r="A187" s="50">
        <v>62</v>
      </c>
      <c r="B187" s="49" t="s">
        <v>186</v>
      </c>
      <c r="C187" s="49">
        <v>2</v>
      </c>
      <c r="D187" s="49">
        <v>2</v>
      </c>
      <c r="E187" s="49">
        <f t="shared" si="6"/>
        <v>0</v>
      </c>
      <c r="F187" s="1"/>
    </row>
    <row r="188" spans="1:6" ht="21" x14ac:dyDescent="0.25">
      <c r="A188" s="50">
        <v>63</v>
      </c>
      <c r="B188" s="49" t="s">
        <v>187</v>
      </c>
      <c r="C188" s="49">
        <v>3</v>
      </c>
      <c r="D188" s="49">
        <v>3</v>
      </c>
      <c r="E188" s="49">
        <f t="shared" si="6"/>
        <v>0</v>
      </c>
      <c r="F188" s="1"/>
    </row>
    <row r="189" spans="1:6" ht="21" x14ac:dyDescent="0.25">
      <c r="A189" s="50">
        <v>64</v>
      </c>
      <c r="B189" s="49" t="s">
        <v>188</v>
      </c>
      <c r="C189" s="49">
        <v>2</v>
      </c>
      <c r="D189" s="49">
        <v>2</v>
      </c>
      <c r="E189" s="49">
        <f t="shared" si="6"/>
        <v>0</v>
      </c>
      <c r="F189" s="1"/>
    </row>
    <row r="190" spans="1:6" ht="21" x14ac:dyDescent="0.25">
      <c r="A190" s="50">
        <v>65</v>
      </c>
      <c r="B190" s="49" t="s">
        <v>189</v>
      </c>
      <c r="C190" s="49">
        <v>1</v>
      </c>
      <c r="D190" s="49">
        <v>1</v>
      </c>
      <c r="E190" s="49">
        <f t="shared" ref="E190:E203" si="7">D190-C190</f>
        <v>0</v>
      </c>
      <c r="F190" s="1"/>
    </row>
    <row r="191" spans="1:6" ht="21" x14ac:dyDescent="0.25">
      <c r="A191" s="50">
        <v>66</v>
      </c>
      <c r="B191" s="49" t="s">
        <v>190</v>
      </c>
      <c r="C191" s="49">
        <v>2</v>
      </c>
      <c r="D191" s="49">
        <v>2</v>
      </c>
      <c r="E191" s="49">
        <f t="shared" si="7"/>
        <v>0</v>
      </c>
      <c r="F191" s="1"/>
    </row>
    <row r="192" spans="1:6" ht="21" x14ac:dyDescent="0.25">
      <c r="A192" s="50">
        <v>67</v>
      </c>
      <c r="B192" s="49" t="s">
        <v>191</v>
      </c>
      <c r="C192" s="49">
        <v>2</v>
      </c>
      <c r="D192" s="49">
        <v>2</v>
      </c>
      <c r="E192" s="49">
        <f t="shared" si="7"/>
        <v>0</v>
      </c>
      <c r="F192" s="1"/>
    </row>
    <row r="193" spans="1:6" ht="21" x14ac:dyDescent="0.25">
      <c r="A193" s="50">
        <v>68</v>
      </c>
      <c r="B193" s="49" t="s">
        <v>192</v>
      </c>
      <c r="C193" s="49">
        <v>0</v>
      </c>
      <c r="D193" s="49">
        <v>0</v>
      </c>
      <c r="E193" s="49">
        <f t="shared" si="7"/>
        <v>0</v>
      </c>
      <c r="F193" s="1"/>
    </row>
    <row r="194" spans="1:6" ht="21" x14ac:dyDescent="0.25">
      <c r="A194" s="50">
        <v>69</v>
      </c>
      <c r="B194" s="49" t="s">
        <v>193</v>
      </c>
      <c r="C194" s="49">
        <v>1</v>
      </c>
      <c r="D194" s="49">
        <v>1</v>
      </c>
      <c r="E194" s="49">
        <f t="shared" si="7"/>
        <v>0</v>
      </c>
      <c r="F194" s="1"/>
    </row>
    <row r="195" spans="1:6" ht="21" x14ac:dyDescent="0.25">
      <c r="A195" s="50">
        <v>70</v>
      </c>
      <c r="B195" s="49" t="s">
        <v>194</v>
      </c>
      <c r="C195" s="49">
        <v>2</v>
      </c>
      <c r="D195" s="49">
        <v>2</v>
      </c>
      <c r="E195" s="49">
        <f t="shared" si="7"/>
        <v>0</v>
      </c>
      <c r="F195" s="1"/>
    </row>
    <row r="196" spans="1:6" ht="21" x14ac:dyDescent="0.25">
      <c r="A196" s="50">
        <v>71</v>
      </c>
      <c r="B196" s="49" t="s">
        <v>195</v>
      </c>
      <c r="C196" s="49">
        <v>2</v>
      </c>
      <c r="D196" s="49">
        <v>2</v>
      </c>
      <c r="E196" s="49">
        <f t="shared" si="7"/>
        <v>0</v>
      </c>
      <c r="F196" s="1"/>
    </row>
    <row r="197" spans="1:6" ht="21" x14ac:dyDescent="0.25">
      <c r="A197" s="50">
        <v>72</v>
      </c>
      <c r="B197" s="49" t="s">
        <v>196</v>
      </c>
      <c r="C197" s="49">
        <v>2</v>
      </c>
      <c r="D197" s="49">
        <v>2</v>
      </c>
      <c r="E197" s="49">
        <f t="shared" si="7"/>
        <v>0</v>
      </c>
      <c r="F197" s="1"/>
    </row>
    <row r="198" spans="1:6" ht="21" x14ac:dyDescent="0.25">
      <c r="A198" s="50">
        <v>73</v>
      </c>
      <c r="B198" s="49" t="s">
        <v>197</v>
      </c>
      <c r="C198" s="49">
        <v>3</v>
      </c>
      <c r="D198" s="49">
        <v>3</v>
      </c>
      <c r="E198" s="49">
        <f t="shared" si="7"/>
        <v>0</v>
      </c>
      <c r="F198" s="1"/>
    </row>
    <row r="199" spans="1:6" ht="21" x14ac:dyDescent="0.25">
      <c r="A199" s="50">
        <v>74</v>
      </c>
      <c r="B199" s="49" t="s">
        <v>198</v>
      </c>
      <c r="C199" s="49">
        <v>2</v>
      </c>
      <c r="D199" s="49">
        <v>2</v>
      </c>
      <c r="E199" s="49">
        <f t="shared" si="7"/>
        <v>0</v>
      </c>
      <c r="F199" s="1"/>
    </row>
    <row r="200" spans="1:6" ht="21" x14ac:dyDescent="0.25">
      <c r="A200" s="50">
        <v>75</v>
      </c>
      <c r="B200" s="49" t="s">
        <v>199</v>
      </c>
      <c r="C200" s="49">
        <v>4</v>
      </c>
      <c r="D200" s="49">
        <v>4</v>
      </c>
      <c r="E200" s="49">
        <f t="shared" si="7"/>
        <v>0</v>
      </c>
      <c r="F200" s="1"/>
    </row>
    <row r="201" spans="1:6" ht="21" x14ac:dyDescent="0.25">
      <c r="A201" s="50">
        <v>76</v>
      </c>
      <c r="B201" s="49" t="s">
        <v>200</v>
      </c>
      <c r="C201" s="49">
        <v>0</v>
      </c>
      <c r="D201" s="49">
        <v>0</v>
      </c>
      <c r="E201" s="49">
        <f t="shared" si="7"/>
        <v>0</v>
      </c>
      <c r="F201" s="1"/>
    </row>
    <row r="202" spans="1:6" ht="21" x14ac:dyDescent="0.25">
      <c r="A202" s="50">
        <v>77</v>
      </c>
      <c r="B202" s="49" t="s">
        <v>228</v>
      </c>
      <c r="C202" s="49">
        <v>0</v>
      </c>
      <c r="D202" s="49">
        <v>0</v>
      </c>
      <c r="E202" s="49">
        <f t="shared" si="7"/>
        <v>0</v>
      </c>
      <c r="F202" s="1"/>
    </row>
    <row r="203" spans="1:6" ht="21" x14ac:dyDescent="0.25">
      <c r="A203" s="59">
        <v>78</v>
      </c>
      <c r="B203" s="49" t="s">
        <v>229</v>
      </c>
      <c r="C203" s="49">
        <v>0</v>
      </c>
      <c r="D203" s="49">
        <v>0</v>
      </c>
      <c r="E203" s="49">
        <f t="shared" si="7"/>
        <v>0</v>
      </c>
      <c r="F203" s="1"/>
    </row>
    <row r="1048568" ht="12.75" customHeight="1" x14ac:dyDescent="0.25"/>
    <row r="1048569" ht="12.75" customHeight="1" x14ac:dyDescent="0.25"/>
    <row r="1048570" ht="12.75" customHeight="1" x14ac:dyDescent="0.25"/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  <row r="1048575" ht="12.75" customHeight="1" x14ac:dyDescent="0.25"/>
    <row r="1048576" ht="12.75" customHeight="1" x14ac:dyDescent="0.25"/>
  </sheetData>
  <mergeCells count="10">
    <mergeCell ref="A61:F61"/>
    <mergeCell ref="A83:F83"/>
    <mergeCell ref="A122:F122"/>
    <mergeCell ref="A125:F125"/>
    <mergeCell ref="F126:F158"/>
    <mergeCell ref="B2:C2"/>
    <mergeCell ref="A9:B9"/>
    <mergeCell ref="F22:F23"/>
    <mergeCell ref="A25:F25"/>
    <mergeCell ref="A51:F51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560"/>
  <sheetViews>
    <sheetView showGridLines="0" rightToLeft="1" tabSelected="1" topLeftCell="E1" zoomScale="150" zoomScaleNormal="150" workbookViewId="0">
      <selection activeCell="H1" sqref="G1:H1048576"/>
    </sheetView>
  </sheetViews>
  <sheetFormatPr baseColWidth="10" defaultColWidth="8.83203125" defaultRowHeight="19.75" customHeight="1" x14ac:dyDescent="0.25"/>
  <cols>
    <col min="1" max="1" width="4.1640625" style="60" customWidth="1"/>
    <col min="2" max="2" width="46.83203125" style="45" customWidth="1"/>
    <col min="3" max="3" width="18" style="61" customWidth="1"/>
    <col min="4" max="4" width="8.33203125" style="60" customWidth="1"/>
    <col min="5" max="5" width="9.1640625" style="60" customWidth="1"/>
    <col min="6" max="6" width="22.83203125" style="60" customWidth="1"/>
    <col min="7" max="8" width="22.83203125" style="60" hidden="1" customWidth="1"/>
    <col min="9" max="9" width="10.5" style="60" customWidth="1"/>
    <col min="10" max="10" width="9" style="60" customWidth="1"/>
    <col min="11" max="11" width="10.5" style="60" customWidth="1"/>
    <col min="12" max="12" width="16" style="2" hidden="1" customWidth="1"/>
    <col min="13" max="13" width="14.6640625" style="60" customWidth="1"/>
    <col min="14" max="16384" width="8.83203125" style="60"/>
  </cols>
  <sheetData>
    <row r="2" spans="1:12" ht="19.75" customHeight="1" x14ac:dyDescent="0.25">
      <c r="C2" s="141"/>
    </row>
    <row r="3" spans="1:12" ht="74.75" customHeight="1" x14ac:dyDescent="0.2">
      <c r="A3" s="358" t="s">
        <v>4</v>
      </c>
      <c r="B3" s="358"/>
      <c r="C3" s="142" t="s">
        <v>338</v>
      </c>
      <c r="D3" s="143" t="s">
        <v>230</v>
      </c>
      <c r="E3" s="143" t="s">
        <v>231</v>
      </c>
      <c r="F3" s="144" t="s">
        <v>232</v>
      </c>
      <c r="G3" s="144" t="s">
        <v>312</v>
      </c>
      <c r="H3" s="161" t="s">
        <v>313</v>
      </c>
      <c r="I3" s="143" t="s">
        <v>233</v>
      </c>
      <c r="J3" s="143" t="s">
        <v>234</v>
      </c>
      <c r="K3" s="143" t="s">
        <v>235</v>
      </c>
      <c r="L3" s="143" t="s">
        <v>236</v>
      </c>
    </row>
    <row r="4" spans="1:12" s="64" customFormat="1" ht="26" x14ac:dyDescent="0.25">
      <c r="A4" s="145">
        <v>1</v>
      </c>
      <c r="B4" s="165" t="s">
        <v>237</v>
      </c>
      <c r="C4" s="281">
        <v>255</v>
      </c>
      <c r="D4" s="137">
        <f>'الصادر بعد الجرد'!Y4</f>
        <v>150</v>
      </c>
      <c r="E4" s="137">
        <f>'الوارد بعد الجرد'!AC4</f>
        <v>100</v>
      </c>
      <c r="F4" s="62">
        <f t="shared" ref="F4:F78" si="0">C4-D4+E4</f>
        <v>205</v>
      </c>
      <c r="G4" s="135">
        <v>75</v>
      </c>
      <c r="H4" s="153">
        <f>G4*F4</f>
        <v>15375</v>
      </c>
      <c r="I4" s="63">
        <v>213</v>
      </c>
      <c r="J4" s="63"/>
      <c r="K4" s="63">
        <f t="shared" ref="K4:K18" si="1">I4*4</f>
        <v>852</v>
      </c>
      <c r="L4" s="63">
        <f t="shared" ref="L4:L18" si="2">F4-K4</f>
        <v>-647</v>
      </c>
    </row>
    <row r="5" spans="1:12" ht="26" x14ac:dyDescent="0.25">
      <c r="A5" s="145">
        <v>2</v>
      </c>
      <c r="B5" s="165" t="s">
        <v>10</v>
      </c>
      <c r="C5" s="251">
        <v>355</v>
      </c>
      <c r="D5" s="137">
        <f>'الصادر بعد الجرد'!Y5</f>
        <v>50</v>
      </c>
      <c r="E5" s="137">
        <f>'الوارد بعد الجرد'!AC5</f>
        <v>0</v>
      </c>
      <c r="F5" s="62">
        <f t="shared" si="0"/>
        <v>305</v>
      </c>
      <c r="G5" s="135">
        <v>160</v>
      </c>
      <c r="H5" s="153">
        <f t="shared" ref="H5:H79" si="3">G5*F5</f>
        <v>48800</v>
      </c>
      <c r="I5" s="65">
        <v>88</v>
      </c>
      <c r="J5" s="65"/>
      <c r="K5" s="65">
        <f t="shared" si="1"/>
        <v>352</v>
      </c>
      <c r="L5" s="65">
        <f t="shared" si="2"/>
        <v>-47</v>
      </c>
    </row>
    <row r="6" spans="1:12" ht="26" x14ac:dyDescent="0.25">
      <c r="A6" s="145">
        <v>3</v>
      </c>
      <c r="B6" s="165" t="s">
        <v>11</v>
      </c>
      <c r="C6" s="251">
        <v>100</v>
      </c>
      <c r="D6" s="137">
        <f>'الصادر بعد الجرد'!Y6</f>
        <v>150</v>
      </c>
      <c r="E6" s="137">
        <f>'الوارد بعد الجرد'!AC6</f>
        <v>150</v>
      </c>
      <c r="F6" s="62">
        <f t="shared" si="0"/>
        <v>100</v>
      </c>
      <c r="G6" s="135">
        <v>150</v>
      </c>
      <c r="H6" s="153">
        <f t="shared" si="3"/>
        <v>15000</v>
      </c>
      <c r="I6" s="65">
        <v>82</v>
      </c>
      <c r="J6" s="65"/>
      <c r="K6" s="65">
        <f t="shared" si="1"/>
        <v>328</v>
      </c>
      <c r="L6" s="65">
        <f t="shared" si="2"/>
        <v>-228</v>
      </c>
    </row>
    <row r="7" spans="1:12" ht="26" x14ac:dyDescent="0.25">
      <c r="A7" s="145">
        <v>4</v>
      </c>
      <c r="B7" s="146" t="s">
        <v>12</v>
      </c>
      <c r="C7" s="251">
        <v>525</v>
      </c>
      <c r="D7" s="137">
        <f>'الصادر بعد الجرد'!Y7</f>
        <v>40</v>
      </c>
      <c r="E7" s="137">
        <f>'الوارد بعد الجرد'!AC7</f>
        <v>0</v>
      </c>
      <c r="F7" s="62">
        <f t="shared" si="0"/>
        <v>485</v>
      </c>
      <c r="G7" s="135">
        <v>100</v>
      </c>
      <c r="H7" s="153">
        <f t="shared" si="3"/>
        <v>48500</v>
      </c>
      <c r="I7" s="65"/>
      <c r="J7" s="65"/>
      <c r="K7" s="65">
        <f t="shared" si="1"/>
        <v>0</v>
      </c>
      <c r="L7" s="65">
        <f t="shared" si="2"/>
        <v>485</v>
      </c>
    </row>
    <row r="8" spans="1:12" ht="26" x14ac:dyDescent="0.25">
      <c r="A8" s="145">
        <v>5</v>
      </c>
      <c r="B8" s="146" t="s">
        <v>13</v>
      </c>
      <c r="C8" s="251">
        <v>377</v>
      </c>
      <c r="D8" s="137">
        <f>'الصادر بعد الجرد'!Y8</f>
        <v>0</v>
      </c>
      <c r="E8" s="137">
        <f>'الوارد بعد الجرد'!AC8</f>
        <v>0</v>
      </c>
      <c r="F8" s="62">
        <f t="shared" si="0"/>
        <v>377</v>
      </c>
      <c r="G8" s="135">
        <v>55</v>
      </c>
      <c r="H8" s="153">
        <f t="shared" si="3"/>
        <v>20735</v>
      </c>
      <c r="I8" s="65">
        <v>62</v>
      </c>
      <c r="J8" s="65"/>
      <c r="K8" s="65">
        <f t="shared" si="1"/>
        <v>248</v>
      </c>
      <c r="L8" s="65">
        <f t="shared" si="2"/>
        <v>129</v>
      </c>
    </row>
    <row r="9" spans="1:12" ht="26" x14ac:dyDescent="0.25">
      <c r="A9" s="145">
        <v>6</v>
      </c>
      <c r="B9" s="166" t="s">
        <v>14</v>
      </c>
      <c r="C9" s="251">
        <v>907</v>
      </c>
      <c r="D9" s="137">
        <f>'الصادر بعد الجرد'!Y9</f>
        <v>40</v>
      </c>
      <c r="E9" s="137">
        <f>'الوارد بعد الجرد'!AC9</f>
        <v>0</v>
      </c>
      <c r="F9" s="62">
        <f t="shared" si="0"/>
        <v>867</v>
      </c>
      <c r="G9" s="135">
        <v>130</v>
      </c>
      <c r="H9" s="153">
        <f t="shared" si="3"/>
        <v>112710</v>
      </c>
      <c r="I9" s="65"/>
      <c r="J9" s="65"/>
      <c r="K9" s="65">
        <f t="shared" si="1"/>
        <v>0</v>
      </c>
      <c r="L9" s="65">
        <f t="shared" si="2"/>
        <v>867</v>
      </c>
    </row>
    <row r="10" spans="1:12" ht="26" x14ac:dyDescent="0.25">
      <c r="A10" s="145">
        <v>7</v>
      </c>
      <c r="B10" s="146" t="s">
        <v>15</v>
      </c>
      <c r="C10" s="251">
        <v>940</v>
      </c>
      <c r="D10" s="137">
        <f>'الصادر بعد الجرد'!Y10</f>
        <v>60</v>
      </c>
      <c r="E10" s="137">
        <f>'الوارد بعد الجرد'!AC10</f>
        <v>0</v>
      </c>
      <c r="F10" s="62">
        <f t="shared" si="0"/>
        <v>880</v>
      </c>
      <c r="G10" s="135">
        <v>85</v>
      </c>
      <c r="H10" s="153">
        <f t="shared" si="3"/>
        <v>74800</v>
      </c>
      <c r="I10" s="65"/>
      <c r="J10" s="65"/>
      <c r="K10" s="65">
        <f t="shared" si="1"/>
        <v>0</v>
      </c>
      <c r="L10" s="65">
        <f t="shared" si="2"/>
        <v>880</v>
      </c>
    </row>
    <row r="11" spans="1:12" ht="26" x14ac:dyDescent="0.25">
      <c r="A11" s="145">
        <v>8</v>
      </c>
      <c r="B11" s="146" t="s">
        <v>16</v>
      </c>
      <c r="C11" s="251"/>
      <c r="D11" s="137">
        <f>'الصادر بعد الجرد'!Y11</f>
        <v>0</v>
      </c>
      <c r="E11" s="137">
        <f>'الوارد بعد الجرد'!AC11</f>
        <v>0</v>
      </c>
      <c r="F11" s="62">
        <f t="shared" si="0"/>
        <v>0</v>
      </c>
      <c r="G11" s="135">
        <v>25</v>
      </c>
      <c r="H11" s="153">
        <f t="shared" si="3"/>
        <v>0</v>
      </c>
      <c r="I11" s="65">
        <v>12</v>
      </c>
      <c r="J11" s="65"/>
      <c r="K11" s="65">
        <f t="shared" si="1"/>
        <v>48</v>
      </c>
      <c r="L11" s="65">
        <f t="shared" si="2"/>
        <v>-48</v>
      </c>
    </row>
    <row r="12" spans="1:12" ht="26" x14ac:dyDescent="0.25">
      <c r="A12" s="145">
        <v>9</v>
      </c>
      <c r="B12" s="146" t="s">
        <v>17</v>
      </c>
      <c r="C12" s="251"/>
      <c r="D12" s="137">
        <f>'الصادر بعد الجرد'!Y12</f>
        <v>0</v>
      </c>
      <c r="E12" s="137">
        <f>'الوارد بعد الجرد'!AC12</f>
        <v>0</v>
      </c>
      <c r="F12" s="62">
        <f t="shared" si="0"/>
        <v>0</v>
      </c>
      <c r="G12" s="62"/>
      <c r="H12" s="153">
        <f t="shared" si="3"/>
        <v>0</v>
      </c>
      <c r="I12" s="65"/>
      <c r="J12" s="65"/>
      <c r="K12" s="65">
        <f t="shared" si="1"/>
        <v>0</v>
      </c>
      <c r="L12" s="65">
        <f t="shared" si="2"/>
        <v>0</v>
      </c>
    </row>
    <row r="13" spans="1:12" ht="26" x14ac:dyDescent="0.25">
      <c r="A13" s="145">
        <v>10</v>
      </c>
      <c r="B13" s="146" t="s">
        <v>18</v>
      </c>
      <c r="C13" s="251"/>
      <c r="D13" s="137">
        <f>'الصادر بعد الجرد'!Y13</f>
        <v>0</v>
      </c>
      <c r="E13" s="137">
        <f>'الوارد بعد الجرد'!AC13</f>
        <v>0</v>
      </c>
      <c r="F13" s="62">
        <f t="shared" si="0"/>
        <v>0</v>
      </c>
      <c r="G13" s="62"/>
      <c r="H13" s="153">
        <f t="shared" si="3"/>
        <v>0</v>
      </c>
      <c r="I13" s="65"/>
      <c r="J13" s="65"/>
      <c r="K13" s="65">
        <f t="shared" si="1"/>
        <v>0</v>
      </c>
      <c r="L13" s="65">
        <f t="shared" si="2"/>
        <v>0</v>
      </c>
    </row>
    <row r="14" spans="1:12" ht="26" x14ac:dyDescent="0.25">
      <c r="A14" s="145">
        <v>11</v>
      </c>
      <c r="B14" s="146" t="s">
        <v>19</v>
      </c>
      <c r="C14" s="251"/>
      <c r="D14" s="137">
        <f>'الصادر بعد الجرد'!Y14</f>
        <v>0</v>
      </c>
      <c r="E14" s="137">
        <f>'الوارد بعد الجرد'!AC14</f>
        <v>0</v>
      </c>
      <c r="F14" s="62">
        <f t="shared" si="0"/>
        <v>0</v>
      </c>
      <c r="G14" s="62"/>
      <c r="H14" s="153">
        <f t="shared" si="3"/>
        <v>0</v>
      </c>
      <c r="I14" s="65"/>
      <c r="J14" s="65"/>
      <c r="K14" s="65">
        <f t="shared" si="1"/>
        <v>0</v>
      </c>
      <c r="L14" s="65">
        <f t="shared" si="2"/>
        <v>0</v>
      </c>
    </row>
    <row r="15" spans="1:12" ht="26" x14ac:dyDescent="0.25">
      <c r="A15" s="145">
        <v>12</v>
      </c>
      <c r="B15" s="146" t="s">
        <v>20</v>
      </c>
      <c r="C15" s="251"/>
      <c r="D15" s="137">
        <f>'الصادر بعد الجرد'!Y15</f>
        <v>0</v>
      </c>
      <c r="E15" s="137">
        <f>'الوارد بعد الجرد'!AC15</f>
        <v>0</v>
      </c>
      <c r="F15" s="62">
        <f t="shared" si="0"/>
        <v>0</v>
      </c>
      <c r="G15" s="135">
        <v>150</v>
      </c>
      <c r="H15" s="153">
        <f t="shared" si="3"/>
        <v>0</v>
      </c>
      <c r="I15" s="65"/>
      <c r="J15" s="65"/>
      <c r="K15" s="65">
        <f t="shared" si="1"/>
        <v>0</v>
      </c>
      <c r="L15" s="65">
        <f t="shared" si="2"/>
        <v>0</v>
      </c>
    </row>
    <row r="16" spans="1:12" ht="26" x14ac:dyDescent="0.25">
      <c r="A16" s="145">
        <v>13</v>
      </c>
      <c r="B16" s="146" t="s">
        <v>21</v>
      </c>
      <c r="C16" s="251">
        <v>4</v>
      </c>
      <c r="D16" s="137">
        <f>'الصادر بعد الجرد'!Y16</f>
        <v>0</v>
      </c>
      <c r="E16" s="137">
        <f>'الوارد بعد الجرد'!AC16</f>
        <v>0</v>
      </c>
      <c r="F16" s="62">
        <f t="shared" si="0"/>
        <v>4</v>
      </c>
      <c r="G16" s="135">
        <v>250</v>
      </c>
      <c r="H16" s="153">
        <f t="shared" si="3"/>
        <v>1000</v>
      </c>
      <c r="I16" s="65"/>
      <c r="J16" s="65"/>
      <c r="K16" s="65">
        <f t="shared" si="1"/>
        <v>0</v>
      </c>
      <c r="L16" s="65">
        <f t="shared" si="2"/>
        <v>4</v>
      </c>
    </row>
    <row r="17" spans="1:13" ht="26" x14ac:dyDescent="0.25">
      <c r="A17" s="145">
        <v>14</v>
      </c>
      <c r="B17" s="146" t="s">
        <v>22</v>
      </c>
      <c r="C17" s="251">
        <v>4</v>
      </c>
      <c r="D17" s="137">
        <f>'الصادر بعد الجرد'!Y17</f>
        <v>0</v>
      </c>
      <c r="E17" s="137">
        <f>'الوارد بعد الجرد'!AC17</f>
        <v>0</v>
      </c>
      <c r="F17" s="62">
        <f t="shared" si="0"/>
        <v>4</v>
      </c>
      <c r="G17" s="135">
        <v>240</v>
      </c>
      <c r="H17" s="153">
        <f t="shared" si="3"/>
        <v>960</v>
      </c>
      <c r="I17" s="65"/>
      <c r="J17" s="65"/>
      <c r="K17" s="65">
        <f t="shared" si="1"/>
        <v>0</v>
      </c>
      <c r="L17" s="65">
        <f t="shared" si="2"/>
        <v>4</v>
      </c>
    </row>
    <row r="18" spans="1:13" ht="26" x14ac:dyDescent="0.25">
      <c r="A18" s="145">
        <v>15</v>
      </c>
      <c r="B18" s="146" t="s">
        <v>23</v>
      </c>
      <c r="C18" s="251"/>
      <c r="D18" s="137">
        <f>'الصادر بعد الجرد'!Y18</f>
        <v>0</v>
      </c>
      <c r="E18" s="137">
        <f>'الوارد بعد الجرد'!AC18</f>
        <v>0</v>
      </c>
      <c r="F18" s="62">
        <f t="shared" si="0"/>
        <v>0</v>
      </c>
      <c r="G18" s="135">
        <v>260</v>
      </c>
      <c r="H18" s="153">
        <f t="shared" si="3"/>
        <v>0</v>
      </c>
      <c r="I18" s="65"/>
      <c r="J18" s="65"/>
      <c r="K18" s="65">
        <f t="shared" si="1"/>
        <v>0</v>
      </c>
      <c r="L18" s="65">
        <f t="shared" si="2"/>
        <v>0</v>
      </c>
    </row>
    <row r="19" spans="1:13" ht="29" x14ac:dyDescent="0.35">
      <c r="A19" s="138"/>
      <c r="B19" s="140" t="s">
        <v>24</v>
      </c>
      <c r="C19" s="251"/>
      <c r="D19" s="137"/>
      <c r="E19" s="137"/>
      <c r="F19" s="62"/>
      <c r="G19" s="62"/>
      <c r="H19" s="153"/>
      <c r="I19" s="138"/>
      <c r="J19" s="138"/>
      <c r="K19" s="138"/>
      <c r="L19" s="138"/>
      <c r="M19"/>
    </row>
    <row r="20" spans="1:13" ht="26" x14ac:dyDescent="0.25">
      <c r="A20" s="68">
        <v>1</v>
      </c>
      <c r="B20" s="67" t="s">
        <v>25</v>
      </c>
      <c r="C20" s="251">
        <v>1248</v>
      </c>
      <c r="D20" s="137">
        <f>'الصادر بعد الجرد'!Y20</f>
        <v>248</v>
      </c>
      <c r="E20" s="137">
        <f>'الوارد بعد الجرد'!AC20</f>
        <v>0</v>
      </c>
      <c r="F20" s="62">
        <f t="shared" si="0"/>
        <v>1000</v>
      </c>
      <c r="G20" s="135">
        <v>4</v>
      </c>
      <c r="H20" s="153">
        <f t="shared" si="3"/>
        <v>4000</v>
      </c>
      <c r="I20" s="65">
        <v>200</v>
      </c>
      <c r="J20" s="65"/>
      <c r="K20" s="65">
        <f t="shared" ref="K20:K44" si="4">I20*4</f>
        <v>800</v>
      </c>
      <c r="L20" s="65">
        <f t="shared" ref="L20:L44" si="5">F20-K20</f>
        <v>200</v>
      </c>
    </row>
    <row r="21" spans="1:13" ht="26" x14ac:dyDescent="0.25">
      <c r="A21" s="68">
        <v>2</v>
      </c>
      <c r="B21" s="67" t="s">
        <v>26</v>
      </c>
      <c r="C21" s="251"/>
      <c r="D21" s="137">
        <f>'الصادر بعد الجرد'!Y21</f>
        <v>500</v>
      </c>
      <c r="E21" s="137">
        <f>'الوارد بعد الجرد'!AC21</f>
        <v>500</v>
      </c>
      <c r="F21" s="62">
        <f t="shared" si="0"/>
        <v>0</v>
      </c>
      <c r="G21" s="135">
        <v>4</v>
      </c>
      <c r="H21" s="153">
        <f t="shared" si="3"/>
        <v>0</v>
      </c>
      <c r="I21" s="65">
        <v>63</v>
      </c>
      <c r="J21" s="65"/>
      <c r="K21" s="65">
        <f t="shared" si="4"/>
        <v>252</v>
      </c>
      <c r="L21" s="65">
        <f t="shared" si="5"/>
        <v>-252</v>
      </c>
    </row>
    <row r="22" spans="1:13" ht="26" x14ac:dyDescent="0.25">
      <c r="A22" s="68">
        <v>3</v>
      </c>
      <c r="B22" s="67" t="s">
        <v>27</v>
      </c>
      <c r="C22" s="251">
        <v>100</v>
      </c>
      <c r="D22" s="137">
        <f>'الصادر بعد الجرد'!Y22</f>
        <v>100</v>
      </c>
      <c r="E22" s="137">
        <f>'الوارد بعد الجرد'!AC22</f>
        <v>0</v>
      </c>
      <c r="F22" s="62">
        <f t="shared" si="0"/>
        <v>0</v>
      </c>
      <c r="G22" s="135">
        <v>4</v>
      </c>
      <c r="H22" s="153">
        <f t="shared" si="3"/>
        <v>0</v>
      </c>
      <c r="I22" s="65">
        <v>63</v>
      </c>
      <c r="J22" s="65"/>
      <c r="K22" s="65">
        <f t="shared" si="4"/>
        <v>252</v>
      </c>
      <c r="L22" s="65">
        <f t="shared" si="5"/>
        <v>-252</v>
      </c>
    </row>
    <row r="23" spans="1:13" ht="26" x14ac:dyDescent="0.25">
      <c r="A23" s="68">
        <v>4</v>
      </c>
      <c r="B23" s="67" t="s">
        <v>28</v>
      </c>
      <c r="C23" s="251">
        <v>1426</v>
      </c>
      <c r="D23" s="137">
        <f>'الصادر بعد الجرد'!Y23</f>
        <v>0</v>
      </c>
      <c r="E23" s="137">
        <f>'الوارد بعد الجرد'!AC23</f>
        <v>0</v>
      </c>
      <c r="F23" s="62">
        <v>1726</v>
      </c>
      <c r="G23" s="135">
        <v>4</v>
      </c>
      <c r="H23" s="153">
        <f t="shared" si="3"/>
        <v>6904</v>
      </c>
      <c r="I23" s="65">
        <v>10</v>
      </c>
      <c r="J23" s="65"/>
      <c r="K23" s="65">
        <f t="shared" si="4"/>
        <v>40</v>
      </c>
      <c r="L23" s="65">
        <f t="shared" si="5"/>
        <v>1686</v>
      </c>
    </row>
    <row r="24" spans="1:13" ht="26" x14ac:dyDescent="0.25">
      <c r="A24" s="68">
        <v>5</v>
      </c>
      <c r="B24" s="67" t="s">
        <v>29</v>
      </c>
      <c r="C24" s="251">
        <v>401</v>
      </c>
      <c r="D24" s="137">
        <f>'الصادر بعد الجرد'!Y24</f>
        <v>500</v>
      </c>
      <c r="E24" s="137">
        <f>'الوارد بعد الجرد'!AC24</f>
        <v>500</v>
      </c>
      <c r="F24" s="62">
        <f t="shared" si="0"/>
        <v>401</v>
      </c>
      <c r="G24" s="135">
        <v>4</v>
      </c>
      <c r="H24" s="153">
        <f t="shared" si="3"/>
        <v>1604</v>
      </c>
      <c r="I24" s="65">
        <v>102</v>
      </c>
      <c r="J24" s="65"/>
      <c r="K24" s="65">
        <f t="shared" si="4"/>
        <v>408</v>
      </c>
      <c r="L24" s="65">
        <f t="shared" si="5"/>
        <v>-7</v>
      </c>
    </row>
    <row r="25" spans="1:13" ht="26" x14ac:dyDescent="0.25">
      <c r="A25" s="68">
        <v>6</v>
      </c>
      <c r="B25" s="67" t="s">
        <v>30</v>
      </c>
      <c r="C25" s="251">
        <v>2124</v>
      </c>
      <c r="D25" s="137">
        <f>'الصادر بعد الجرد'!Y25</f>
        <v>0</v>
      </c>
      <c r="E25" s="137">
        <f>'الوارد بعد الجرد'!AC25</f>
        <v>0</v>
      </c>
      <c r="F25" s="62">
        <f t="shared" si="0"/>
        <v>2124</v>
      </c>
      <c r="G25" s="135">
        <v>4</v>
      </c>
      <c r="H25" s="153">
        <f t="shared" si="3"/>
        <v>8496</v>
      </c>
      <c r="I25" s="65">
        <v>2</v>
      </c>
      <c r="J25" s="65"/>
      <c r="K25" s="65">
        <f t="shared" si="4"/>
        <v>8</v>
      </c>
      <c r="L25" s="65">
        <f t="shared" si="5"/>
        <v>2116</v>
      </c>
    </row>
    <row r="26" spans="1:13" ht="26" x14ac:dyDescent="0.25">
      <c r="A26" s="68">
        <v>7</v>
      </c>
      <c r="B26" s="67" t="s">
        <v>31</v>
      </c>
      <c r="C26" s="251">
        <v>967</v>
      </c>
      <c r="D26" s="137">
        <f>'الصادر بعد الجرد'!Y26</f>
        <v>0</v>
      </c>
      <c r="E26" s="137">
        <f>'الوارد بعد الجرد'!AC26</f>
        <v>0</v>
      </c>
      <c r="F26" s="62">
        <f t="shared" si="0"/>
        <v>967</v>
      </c>
      <c r="G26" s="135">
        <v>4</v>
      </c>
      <c r="H26" s="153">
        <f t="shared" si="3"/>
        <v>3868</v>
      </c>
      <c r="I26" s="65">
        <v>11</v>
      </c>
      <c r="J26" s="65"/>
      <c r="K26" s="65">
        <f t="shared" si="4"/>
        <v>44</v>
      </c>
      <c r="L26" s="65">
        <f t="shared" si="5"/>
        <v>923</v>
      </c>
    </row>
    <row r="27" spans="1:13" ht="26" x14ac:dyDescent="0.25">
      <c r="A27" s="68">
        <v>8</v>
      </c>
      <c r="B27" s="67" t="s">
        <v>32</v>
      </c>
      <c r="C27" s="251">
        <v>529</v>
      </c>
      <c r="D27" s="137">
        <f>'الصادر بعد الجرد'!Y27</f>
        <v>0</v>
      </c>
      <c r="E27" s="137">
        <f>'الوارد بعد الجرد'!AC27</f>
        <v>0</v>
      </c>
      <c r="F27" s="62">
        <f t="shared" si="0"/>
        <v>529</v>
      </c>
      <c r="G27" s="135">
        <v>4</v>
      </c>
      <c r="H27" s="153">
        <f t="shared" si="3"/>
        <v>2116</v>
      </c>
      <c r="I27" s="65">
        <v>12</v>
      </c>
      <c r="J27" s="65"/>
      <c r="K27" s="65">
        <f t="shared" si="4"/>
        <v>48</v>
      </c>
      <c r="L27" s="65">
        <f t="shared" si="5"/>
        <v>481</v>
      </c>
    </row>
    <row r="28" spans="1:13" ht="26" x14ac:dyDescent="0.25">
      <c r="A28" s="68">
        <v>9</v>
      </c>
      <c r="B28" s="67" t="s">
        <v>33</v>
      </c>
      <c r="C28" s="251">
        <v>400</v>
      </c>
      <c r="D28" s="137">
        <f>'الصادر بعد الجرد'!Y28</f>
        <v>0</v>
      </c>
      <c r="E28" s="137">
        <f>'الوارد بعد الجرد'!AC28</f>
        <v>0</v>
      </c>
      <c r="F28" s="62">
        <f t="shared" si="0"/>
        <v>400</v>
      </c>
      <c r="G28" s="135">
        <v>4</v>
      </c>
      <c r="H28" s="153">
        <f t="shared" si="3"/>
        <v>1600</v>
      </c>
      <c r="I28" s="65">
        <v>5</v>
      </c>
      <c r="J28" s="65"/>
      <c r="K28" s="65">
        <f t="shared" si="4"/>
        <v>20</v>
      </c>
      <c r="L28" s="65">
        <f t="shared" si="5"/>
        <v>380</v>
      </c>
    </row>
    <row r="29" spans="1:13" ht="26" x14ac:dyDescent="0.25">
      <c r="A29" s="68">
        <v>10</v>
      </c>
      <c r="B29" s="67" t="s">
        <v>34</v>
      </c>
      <c r="C29" s="251">
        <v>3100</v>
      </c>
      <c r="D29" s="137">
        <f>'الصادر بعد الجرد'!Y29</f>
        <v>0</v>
      </c>
      <c r="E29" s="137">
        <f>'الوارد بعد الجرد'!AC29</f>
        <v>0</v>
      </c>
      <c r="F29" s="62">
        <f t="shared" si="0"/>
        <v>3100</v>
      </c>
      <c r="G29" s="135">
        <v>4</v>
      </c>
      <c r="H29" s="153">
        <f t="shared" si="3"/>
        <v>12400</v>
      </c>
      <c r="I29" s="65">
        <v>10</v>
      </c>
      <c r="J29" s="65"/>
      <c r="K29" s="65">
        <f t="shared" si="4"/>
        <v>40</v>
      </c>
      <c r="L29" s="65">
        <f t="shared" si="5"/>
        <v>3060</v>
      </c>
    </row>
    <row r="30" spans="1:13" ht="26" x14ac:dyDescent="0.25">
      <c r="A30" s="68">
        <v>11</v>
      </c>
      <c r="B30" s="67" t="s">
        <v>35</v>
      </c>
      <c r="C30" s="251">
        <v>375</v>
      </c>
      <c r="D30" s="137">
        <f>'الصادر بعد الجرد'!Y30</f>
        <v>0</v>
      </c>
      <c r="E30" s="137">
        <f>'الوارد بعد الجرد'!AC30</f>
        <v>0</v>
      </c>
      <c r="F30" s="62">
        <f t="shared" si="0"/>
        <v>375</v>
      </c>
      <c r="G30" s="135">
        <v>4</v>
      </c>
      <c r="H30" s="153">
        <f t="shared" si="3"/>
        <v>1500</v>
      </c>
      <c r="I30" s="65">
        <v>5</v>
      </c>
      <c r="J30" s="65"/>
      <c r="K30" s="65">
        <f t="shared" si="4"/>
        <v>20</v>
      </c>
      <c r="L30" s="65">
        <f t="shared" si="5"/>
        <v>355</v>
      </c>
    </row>
    <row r="31" spans="1:13" ht="26" x14ac:dyDescent="0.25">
      <c r="A31" s="68">
        <v>12</v>
      </c>
      <c r="B31" s="67" t="s">
        <v>36</v>
      </c>
      <c r="C31" s="251">
        <v>850</v>
      </c>
      <c r="D31" s="137">
        <f>'الصادر بعد الجرد'!Y31</f>
        <v>0</v>
      </c>
      <c r="E31" s="137">
        <f>'الوارد بعد الجرد'!AC31</f>
        <v>0</v>
      </c>
      <c r="F31" s="62">
        <f t="shared" si="0"/>
        <v>850</v>
      </c>
      <c r="G31" s="135">
        <v>4</v>
      </c>
      <c r="H31" s="153">
        <f t="shared" si="3"/>
        <v>3400</v>
      </c>
      <c r="I31" s="65">
        <v>4</v>
      </c>
      <c r="J31" s="65"/>
      <c r="K31" s="65">
        <f t="shared" si="4"/>
        <v>16</v>
      </c>
      <c r="L31" s="65">
        <f t="shared" si="5"/>
        <v>834</v>
      </c>
    </row>
    <row r="32" spans="1:13" ht="26" x14ac:dyDescent="0.25">
      <c r="A32" s="68">
        <v>13</v>
      </c>
      <c r="B32" s="67" t="s">
        <v>37</v>
      </c>
      <c r="C32" s="251">
        <v>345</v>
      </c>
      <c r="D32" s="137">
        <f>'الصادر بعد الجرد'!Y32</f>
        <v>0</v>
      </c>
      <c r="E32" s="137">
        <f>'الوارد بعد الجرد'!AC32</f>
        <v>0</v>
      </c>
      <c r="F32" s="62">
        <f t="shared" si="0"/>
        <v>345</v>
      </c>
      <c r="G32" s="135">
        <v>4</v>
      </c>
      <c r="H32" s="153">
        <f t="shared" si="3"/>
        <v>1380</v>
      </c>
      <c r="I32" s="65">
        <v>1</v>
      </c>
      <c r="J32" s="65"/>
      <c r="K32" s="65">
        <f t="shared" si="4"/>
        <v>4</v>
      </c>
      <c r="L32" s="65">
        <f t="shared" si="5"/>
        <v>341</v>
      </c>
    </row>
    <row r="33" spans="1:12" ht="26" x14ac:dyDescent="0.25">
      <c r="A33" s="68">
        <v>14</v>
      </c>
      <c r="B33" s="67" t="s">
        <v>38</v>
      </c>
      <c r="C33" s="251">
        <v>575</v>
      </c>
      <c r="D33" s="137">
        <f>'الصادر بعد الجرد'!Y33</f>
        <v>0</v>
      </c>
      <c r="E33" s="137">
        <f>'الوارد بعد الجرد'!AC33</f>
        <v>0</v>
      </c>
      <c r="F33" s="62">
        <f t="shared" si="0"/>
        <v>575</v>
      </c>
      <c r="G33" s="135">
        <v>4</v>
      </c>
      <c r="H33" s="153">
        <f t="shared" si="3"/>
        <v>2300</v>
      </c>
      <c r="I33" s="65">
        <v>1</v>
      </c>
      <c r="J33" s="65"/>
      <c r="K33" s="65">
        <f t="shared" si="4"/>
        <v>4</v>
      </c>
      <c r="L33" s="65">
        <f t="shared" si="5"/>
        <v>571</v>
      </c>
    </row>
    <row r="34" spans="1:12" ht="26" x14ac:dyDescent="0.25">
      <c r="A34" s="68">
        <v>15</v>
      </c>
      <c r="B34" s="67" t="s">
        <v>39</v>
      </c>
      <c r="C34" s="251">
        <v>200</v>
      </c>
      <c r="D34" s="137">
        <f>'الصادر بعد الجرد'!Y34</f>
        <v>0</v>
      </c>
      <c r="E34" s="137">
        <f>'الوارد بعد الجرد'!AC34</f>
        <v>0</v>
      </c>
      <c r="F34" s="62">
        <f t="shared" si="0"/>
        <v>200</v>
      </c>
      <c r="G34" s="135">
        <v>4</v>
      </c>
      <c r="H34" s="153">
        <f t="shared" si="3"/>
        <v>800</v>
      </c>
      <c r="I34" s="65">
        <v>1</v>
      </c>
      <c r="J34" s="65"/>
      <c r="K34" s="65">
        <f t="shared" si="4"/>
        <v>4</v>
      </c>
      <c r="L34" s="65">
        <f t="shared" si="5"/>
        <v>196</v>
      </c>
    </row>
    <row r="35" spans="1:12" ht="26" x14ac:dyDescent="0.25">
      <c r="A35" s="68">
        <v>16</v>
      </c>
      <c r="B35" s="67" t="s">
        <v>40</v>
      </c>
      <c r="C35" s="251">
        <v>390</v>
      </c>
      <c r="D35" s="137">
        <f>'الصادر بعد الجرد'!Y35</f>
        <v>0</v>
      </c>
      <c r="E35" s="137">
        <f>'الوارد بعد الجرد'!AC35</f>
        <v>0</v>
      </c>
      <c r="F35" s="62">
        <f t="shared" si="0"/>
        <v>390</v>
      </c>
      <c r="G35" s="135">
        <v>4</v>
      </c>
      <c r="H35" s="153">
        <f t="shared" si="3"/>
        <v>1560</v>
      </c>
      <c r="I35" s="65">
        <v>1</v>
      </c>
      <c r="J35" s="65"/>
      <c r="K35" s="65">
        <f t="shared" si="4"/>
        <v>4</v>
      </c>
      <c r="L35" s="65">
        <f t="shared" si="5"/>
        <v>386</v>
      </c>
    </row>
    <row r="36" spans="1:12" ht="26" x14ac:dyDescent="0.25">
      <c r="A36" s="68">
        <v>17</v>
      </c>
      <c r="B36" s="67" t="s">
        <v>41</v>
      </c>
      <c r="C36" s="251">
        <v>350</v>
      </c>
      <c r="D36" s="137">
        <f>'الصادر بعد الجرد'!Y36</f>
        <v>0</v>
      </c>
      <c r="E36" s="137">
        <f>'الوارد بعد الجرد'!AC36</f>
        <v>0</v>
      </c>
      <c r="F36" s="62">
        <f t="shared" si="0"/>
        <v>350</v>
      </c>
      <c r="G36" s="135">
        <v>4</v>
      </c>
      <c r="H36" s="153">
        <f t="shared" si="3"/>
        <v>1400</v>
      </c>
      <c r="I36" s="65">
        <v>1</v>
      </c>
      <c r="J36" s="65"/>
      <c r="K36" s="65">
        <f t="shared" si="4"/>
        <v>4</v>
      </c>
      <c r="L36" s="65">
        <f t="shared" si="5"/>
        <v>346</v>
      </c>
    </row>
    <row r="37" spans="1:12" ht="26" x14ac:dyDescent="0.25">
      <c r="A37" s="68">
        <v>18</v>
      </c>
      <c r="B37" s="67" t="s">
        <v>42</v>
      </c>
      <c r="C37" s="251">
        <v>490</v>
      </c>
      <c r="D37" s="137">
        <f>'الصادر بعد الجرد'!Y37</f>
        <v>0</v>
      </c>
      <c r="E37" s="137">
        <f>'الوارد بعد الجرد'!AC37</f>
        <v>0</v>
      </c>
      <c r="F37" s="62">
        <f t="shared" si="0"/>
        <v>490</v>
      </c>
      <c r="G37" s="135">
        <v>4</v>
      </c>
      <c r="H37" s="153">
        <f t="shared" si="3"/>
        <v>1960</v>
      </c>
      <c r="I37" s="65">
        <v>1</v>
      </c>
      <c r="J37" s="65"/>
      <c r="K37" s="65">
        <f t="shared" si="4"/>
        <v>4</v>
      </c>
      <c r="L37" s="65">
        <f t="shared" si="5"/>
        <v>486</v>
      </c>
    </row>
    <row r="38" spans="1:12" ht="26" x14ac:dyDescent="0.25">
      <c r="A38" s="68">
        <v>19</v>
      </c>
      <c r="B38" s="67" t="s">
        <v>43</v>
      </c>
      <c r="C38" s="251">
        <v>1245</v>
      </c>
      <c r="D38" s="137">
        <f>'الصادر بعد الجرد'!Y38</f>
        <v>0</v>
      </c>
      <c r="E38" s="137">
        <f>'الوارد بعد الجرد'!AC38</f>
        <v>0</v>
      </c>
      <c r="F38" s="62">
        <f t="shared" si="0"/>
        <v>1245</v>
      </c>
      <c r="G38" s="135">
        <v>4</v>
      </c>
      <c r="H38" s="153">
        <f t="shared" si="3"/>
        <v>4980</v>
      </c>
      <c r="I38" s="65">
        <v>1</v>
      </c>
      <c r="J38" s="65"/>
      <c r="K38" s="65">
        <f t="shared" si="4"/>
        <v>4</v>
      </c>
      <c r="L38" s="65">
        <f t="shared" si="5"/>
        <v>1241</v>
      </c>
    </row>
    <row r="39" spans="1:12" ht="26" x14ac:dyDescent="0.25">
      <c r="A39" s="68">
        <v>20</v>
      </c>
      <c r="B39" s="67" t="s">
        <v>44</v>
      </c>
      <c r="C39" s="251">
        <v>0</v>
      </c>
      <c r="D39" s="137">
        <f>'الصادر بعد الجرد'!Y39</f>
        <v>500</v>
      </c>
      <c r="E39" s="137">
        <f>'الوارد بعد الجرد'!AC39</f>
        <v>500</v>
      </c>
      <c r="F39" s="62">
        <f t="shared" si="0"/>
        <v>0</v>
      </c>
      <c r="G39" s="135">
        <v>4</v>
      </c>
      <c r="H39" s="153">
        <f t="shared" si="3"/>
        <v>0</v>
      </c>
      <c r="I39" s="65">
        <v>1</v>
      </c>
      <c r="J39" s="65"/>
      <c r="K39" s="65">
        <f t="shared" si="4"/>
        <v>4</v>
      </c>
      <c r="L39" s="65">
        <f t="shared" si="5"/>
        <v>-4</v>
      </c>
    </row>
    <row r="40" spans="1:12" ht="26" x14ac:dyDescent="0.25">
      <c r="A40" s="68">
        <v>21</v>
      </c>
      <c r="B40" s="67" t="s">
        <v>45</v>
      </c>
      <c r="C40" s="251">
        <v>270</v>
      </c>
      <c r="D40" s="137">
        <f>'الصادر بعد الجرد'!Y40</f>
        <v>0</v>
      </c>
      <c r="E40" s="137">
        <f>'الوارد بعد الجرد'!AC40</f>
        <v>0</v>
      </c>
      <c r="F40" s="62">
        <f t="shared" si="0"/>
        <v>270</v>
      </c>
      <c r="G40" s="135">
        <v>4</v>
      </c>
      <c r="H40" s="153">
        <f t="shared" si="3"/>
        <v>1080</v>
      </c>
      <c r="I40" s="65">
        <v>1</v>
      </c>
      <c r="J40" s="65"/>
      <c r="K40" s="65">
        <f t="shared" si="4"/>
        <v>4</v>
      </c>
      <c r="L40" s="65">
        <f t="shared" si="5"/>
        <v>266</v>
      </c>
    </row>
    <row r="41" spans="1:12" ht="26" x14ac:dyDescent="0.25">
      <c r="A41" s="68">
        <v>22</v>
      </c>
      <c r="B41" s="67" t="s">
        <v>216</v>
      </c>
      <c r="C41" s="251">
        <v>294</v>
      </c>
      <c r="D41" s="137">
        <f>'الصادر بعد الجرد'!Y41</f>
        <v>0</v>
      </c>
      <c r="E41" s="137">
        <f>'الوارد بعد الجرد'!AC41</f>
        <v>0</v>
      </c>
      <c r="F41" s="62">
        <f t="shared" si="0"/>
        <v>294</v>
      </c>
      <c r="G41" s="135">
        <v>4</v>
      </c>
      <c r="H41" s="153">
        <f t="shared" si="3"/>
        <v>1176</v>
      </c>
      <c r="I41" s="65">
        <v>1</v>
      </c>
      <c r="J41" s="65"/>
      <c r="K41" s="65">
        <f t="shared" si="4"/>
        <v>4</v>
      </c>
      <c r="L41" s="65">
        <f t="shared" si="5"/>
        <v>290</v>
      </c>
    </row>
    <row r="42" spans="1:12" ht="26" x14ac:dyDescent="0.25">
      <c r="A42" s="68">
        <v>23</v>
      </c>
      <c r="B42" s="67" t="s">
        <v>47</v>
      </c>
      <c r="C42" s="251">
        <v>200</v>
      </c>
      <c r="D42" s="137">
        <f>'الصادر بعد الجرد'!Y42</f>
        <v>0</v>
      </c>
      <c r="E42" s="137">
        <f>'الوارد بعد الجرد'!AC42</f>
        <v>0</v>
      </c>
      <c r="F42" s="62">
        <f t="shared" si="0"/>
        <v>200</v>
      </c>
      <c r="G42" s="135">
        <v>4</v>
      </c>
      <c r="H42" s="153">
        <f t="shared" si="3"/>
        <v>800</v>
      </c>
      <c r="I42" s="65">
        <v>1</v>
      </c>
      <c r="J42" s="65"/>
      <c r="K42" s="65">
        <f t="shared" si="4"/>
        <v>4</v>
      </c>
      <c r="L42" s="65">
        <f t="shared" si="5"/>
        <v>196</v>
      </c>
    </row>
    <row r="43" spans="1:12" ht="26" x14ac:dyDescent="0.25">
      <c r="A43" s="68">
        <v>24</v>
      </c>
      <c r="B43" s="67" t="s">
        <v>48</v>
      </c>
      <c r="C43" s="251">
        <v>100</v>
      </c>
      <c r="D43" s="137">
        <f>'الصادر بعد الجرد'!Y43</f>
        <v>0</v>
      </c>
      <c r="E43" s="137">
        <f>'الوارد بعد الجرد'!AC43</f>
        <v>0</v>
      </c>
      <c r="F43" s="62">
        <f t="shared" si="0"/>
        <v>100</v>
      </c>
      <c r="G43" s="135">
        <v>4</v>
      </c>
      <c r="H43" s="153">
        <f t="shared" si="3"/>
        <v>400</v>
      </c>
      <c r="I43" s="65">
        <v>1</v>
      </c>
      <c r="J43" s="65"/>
      <c r="K43" s="65">
        <f t="shared" si="4"/>
        <v>4</v>
      </c>
      <c r="L43" s="65">
        <f t="shared" si="5"/>
        <v>96</v>
      </c>
    </row>
    <row r="44" spans="1:12" ht="26" x14ac:dyDescent="0.2">
      <c r="A44" s="69">
        <v>25</v>
      </c>
      <c r="B44" s="70" t="s">
        <v>49</v>
      </c>
      <c r="C44" s="251">
        <v>380</v>
      </c>
      <c r="D44" s="137">
        <f>'الصادر بعد الجرد'!Y44</f>
        <v>0</v>
      </c>
      <c r="E44" s="137">
        <f>'الوارد بعد الجرد'!AC44</f>
        <v>0</v>
      </c>
      <c r="F44" s="62">
        <f t="shared" si="0"/>
        <v>380</v>
      </c>
      <c r="G44" s="135">
        <v>4</v>
      </c>
      <c r="H44" s="153">
        <f t="shared" si="3"/>
        <v>1520</v>
      </c>
      <c r="I44" s="65"/>
      <c r="J44" s="65"/>
      <c r="K44" s="65">
        <f t="shared" si="4"/>
        <v>0</v>
      </c>
      <c r="L44" s="65">
        <f t="shared" si="5"/>
        <v>380</v>
      </c>
    </row>
    <row r="45" spans="1:12" ht="26" x14ac:dyDescent="0.2">
      <c r="A45" s="138"/>
      <c r="B45" s="138"/>
      <c r="C45" s="251"/>
      <c r="D45" s="137"/>
      <c r="E45" s="137"/>
      <c r="F45" s="62"/>
      <c r="G45" s="62"/>
      <c r="H45" s="153"/>
      <c r="I45" s="138"/>
      <c r="J45" s="138"/>
      <c r="K45" s="138"/>
      <c r="L45" s="138"/>
    </row>
    <row r="46" spans="1:12" ht="29" x14ac:dyDescent="0.35">
      <c r="A46" s="138"/>
      <c r="B46" s="140" t="s">
        <v>50</v>
      </c>
      <c r="C46" s="251"/>
      <c r="D46" s="137"/>
      <c r="E46" s="137"/>
      <c r="F46" s="62"/>
      <c r="G46" s="62"/>
      <c r="H46" s="153"/>
      <c r="I46" s="138"/>
      <c r="J46" s="138"/>
      <c r="K46" s="138"/>
      <c r="L46" s="138"/>
    </row>
    <row r="47" spans="1:12" ht="26" x14ac:dyDescent="0.25">
      <c r="A47" s="145">
        <v>1</v>
      </c>
      <c r="B47" s="71" t="s">
        <v>51</v>
      </c>
      <c r="C47" s="251">
        <v>0</v>
      </c>
      <c r="D47" s="137">
        <f>'الصادر بعد الجرد'!Y47</f>
        <v>0</v>
      </c>
      <c r="E47" s="137">
        <f>'الوارد بعد الجرد'!AC47</f>
        <v>0</v>
      </c>
      <c r="F47" s="62">
        <f t="shared" si="0"/>
        <v>0</v>
      </c>
      <c r="G47" s="135">
        <v>20</v>
      </c>
      <c r="H47" s="153">
        <f t="shared" si="3"/>
        <v>0</v>
      </c>
      <c r="I47" s="65">
        <v>251</v>
      </c>
      <c r="J47" s="65"/>
      <c r="K47" s="65">
        <f t="shared" ref="K47:K55" si="6">I47*4</f>
        <v>1004</v>
      </c>
      <c r="L47" s="65">
        <f t="shared" ref="L47:L55" si="7">F47-K47</f>
        <v>-1004</v>
      </c>
    </row>
    <row r="48" spans="1:12" ht="26" x14ac:dyDescent="0.25">
      <c r="A48" s="136">
        <v>2</v>
      </c>
      <c r="B48" s="71" t="s">
        <v>52</v>
      </c>
      <c r="C48" s="251">
        <v>906</v>
      </c>
      <c r="D48" s="137">
        <f>'الصادر بعد الجرد'!Y48</f>
        <v>200</v>
      </c>
      <c r="E48" s="137">
        <f>'الوارد بعد الجرد'!AC48</f>
        <v>0</v>
      </c>
      <c r="F48" s="62">
        <f t="shared" si="0"/>
        <v>706</v>
      </c>
      <c r="G48" s="135">
        <v>20</v>
      </c>
      <c r="H48" s="153">
        <f t="shared" si="3"/>
        <v>14120</v>
      </c>
      <c r="I48" s="65">
        <v>116</v>
      </c>
      <c r="J48" s="65"/>
      <c r="K48" s="65">
        <f t="shared" si="6"/>
        <v>464</v>
      </c>
      <c r="L48" s="65">
        <f t="shared" si="7"/>
        <v>242</v>
      </c>
    </row>
    <row r="49" spans="1:12" ht="26" x14ac:dyDescent="0.25">
      <c r="A49" s="136">
        <v>3</v>
      </c>
      <c r="B49" s="71" t="s">
        <v>53</v>
      </c>
      <c r="C49" s="251">
        <v>865</v>
      </c>
      <c r="D49" s="137">
        <f>'الصادر بعد الجرد'!Y49</f>
        <v>200</v>
      </c>
      <c r="E49" s="137">
        <f>'الوارد بعد الجرد'!AC49</f>
        <v>0</v>
      </c>
      <c r="F49" s="62">
        <f t="shared" si="0"/>
        <v>665</v>
      </c>
      <c r="G49" s="135">
        <v>20</v>
      </c>
      <c r="H49" s="153">
        <f t="shared" si="3"/>
        <v>13300</v>
      </c>
      <c r="I49" s="65">
        <v>132</v>
      </c>
      <c r="J49" s="65"/>
      <c r="K49" s="65">
        <f t="shared" si="6"/>
        <v>528</v>
      </c>
      <c r="L49" s="65">
        <f t="shared" si="7"/>
        <v>137</v>
      </c>
    </row>
    <row r="50" spans="1:12" ht="26" x14ac:dyDescent="0.25">
      <c r="A50" s="136">
        <v>4</v>
      </c>
      <c r="B50" s="71" t="s">
        <v>54</v>
      </c>
      <c r="C50" s="251">
        <v>571</v>
      </c>
      <c r="D50" s="137">
        <f>'الصادر بعد الجرد'!Y50</f>
        <v>200</v>
      </c>
      <c r="E50" s="137">
        <f>'الوارد بعد الجرد'!AC50</f>
        <v>0</v>
      </c>
      <c r="F50" s="62">
        <f t="shared" si="0"/>
        <v>371</v>
      </c>
      <c r="G50" s="135">
        <v>20</v>
      </c>
      <c r="H50" s="153">
        <f t="shared" si="3"/>
        <v>7420</v>
      </c>
      <c r="I50" s="65">
        <v>167</v>
      </c>
      <c r="J50" s="65"/>
      <c r="K50" s="65">
        <f t="shared" si="6"/>
        <v>668</v>
      </c>
      <c r="L50" s="65">
        <f t="shared" si="7"/>
        <v>-297</v>
      </c>
    </row>
    <row r="51" spans="1:12" ht="26" x14ac:dyDescent="0.25">
      <c r="A51" s="136">
        <v>5</v>
      </c>
      <c r="B51" s="71" t="s">
        <v>55</v>
      </c>
      <c r="C51" s="251">
        <v>498</v>
      </c>
      <c r="D51" s="137">
        <f>'الصادر بعد الجرد'!Y51</f>
        <v>200</v>
      </c>
      <c r="E51" s="137">
        <f>'الوارد بعد الجرد'!AC51</f>
        <v>0</v>
      </c>
      <c r="F51" s="62">
        <f t="shared" si="0"/>
        <v>298</v>
      </c>
      <c r="G51" s="135">
        <v>20</v>
      </c>
      <c r="H51" s="153">
        <f t="shared" si="3"/>
        <v>5960</v>
      </c>
      <c r="I51" s="65">
        <v>148</v>
      </c>
      <c r="J51" s="65"/>
      <c r="K51" s="65">
        <f t="shared" si="6"/>
        <v>592</v>
      </c>
      <c r="L51" s="65">
        <f t="shared" si="7"/>
        <v>-294</v>
      </c>
    </row>
    <row r="52" spans="1:12" ht="26" x14ac:dyDescent="0.25">
      <c r="A52" s="136">
        <v>6</v>
      </c>
      <c r="B52" s="71" t="s">
        <v>56</v>
      </c>
      <c r="C52" s="251">
        <v>1318</v>
      </c>
      <c r="D52" s="137">
        <f>'الصادر بعد الجرد'!Y52</f>
        <v>200</v>
      </c>
      <c r="E52" s="137">
        <f>'الوارد بعد الجرد'!AC52</f>
        <v>0</v>
      </c>
      <c r="F52" s="62">
        <f t="shared" si="0"/>
        <v>1118</v>
      </c>
      <c r="G52" s="135">
        <v>20</v>
      </c>
      <c r="H52" s="153">
        <f t="shared" si="3"/>
        <v>22360</v>
      </c>
      <c r="I52" s="65">
        <v>114</v>
      </c>
      <c r="J52" s="65"/>
      <c r="K52" s="65">
        <f t="shared" si="6"/>
        <v>456</v>
      </c>
      <c r="L52" s="65">
        <f t="shared" si="7"/>
        <v>662</v>
      </c>
    </row>
    <row r="53" spans="1:12" ht="26" x14ac:dyDescent="0.25">
      <c r="A53" s="136">
        <v>7</v>
      </c>
      <c r="B53" s="71" t="s">
        <v>57</v>
      </c>
      <c r="C53" s="251">
        <v>906</v>
      </c>
      <c r="D53" s="137">
        <f>'الصادر بعد الجرد'!Y53</f>
        <v>200</v>
      </c>
      <c r="E53" s="137">
        <f>'الوارد بعد الجرد'!AC53</f>
        <v>0</v>
      </c>
      <c r="F53" s="62">
        <f t="shared" si="0"/>
        <v>706</v>
      </c>
      <c r="G53" s="135">
        <v>20</v>
      </c>
      <c r="H53" s="153">
        <f t="shared" si="3"/>
        <v>14120</v>
      </c>
      <c r="I53" s="65">
        <v>108</v>
      </c>
      <c r="J53" s="65"/>
      <c r="K53" s="65">
        <f t="shared" si="6"/>
        <v>432</v>
      </c>
      <c r="L53" s="65">
        <f t="shared" si="7"/>
        <v>274</v>
      </c>
    </row>
    <row r="54" spans="1:12" ht="26" x14ac:dyDescent="0.25">
      <c r="A54" s="136">
        <v>8</v>
      </c>
      <c r="B54" s="71" t="s">
        <v>58</v>
      </c>
      <c r="C54" s="251">
        <v>1289</v>
      </c>
      <c r="D54" s="137">
        <f>'الصادر بعد الجرد'!Y54</f>
        <v>200</v>
      </c>
      <c r="E54" s="137">
        <f>'الوارد بعد الجرد'!AC54</f>
        <v>0</v>
      </c>
      <c r="F54" s="62">
        <f t="shared" si="0"/>
        <v>1089</v>
      </c>
      <c r="G54" s="135">
        <v>20</v>
      </c>
      <c r="H54" s="153">
        <f t="shared" si="3"/>
        <v>21780</v>
      </c>
      <c r="I54" s="65">
        <v>66</v>
      </c>
      <c r="J54" s="65"/>
      <c r="K54" s="65">
        <f t="shared" si="6"/>
        <v>264</v>
      </c>
      <c r="L54" s="65">
        <f t="shared" si="7"/>
        <v>825</v>
      </c>
    </row>
    <row r="55" spans="1:12" ht="26" x14ac:dyDescent="0.25">
      <c r="A55" s="136">
        <v>9</v>
      </c>
      <c r="B55" s="71" t="s">
        <v>59</v>
      </c>
      <c r="C55" s="251">
        <v>138</v>
      </c>
      <c r="D55" s="137">
        <f>'الصادر بعد الجرد'!Y55</f>
        <v>138</v>
      </c>
      <c r="E55" s="137">
        <f>'الوارد بعد الجرد'!AC55</f>
        <v>0</v>
      </c>
      <c r="F55" s="62">
        <f t="shared" si="0"/>
        <v>0</v>
      </c>
      <c r="G55" s="135">
        <v>20</v>
      </c>
      <c r="H55" s="153">
        <f t="shared" si="3"/>
        <v>0</v>
      </c>
      <c r="I55" s="65">
        <v>146</v>
      </c>
      <c r="J55" s="65"/>
      <c r="K55" s="65">
        <f t="shared" si="6"/>
        <v>584</v>
      </c>
      <c r="L55" s="65">
        <f t="shared" si="7"/>
        <v>-584</v>
      </c>
    </row>
    <row r="56" spans="1:12" ht="26" x14ac:dyDescent="0.25">
      <c r="A56" s="136"/>
      <c r="B56" s="71"/>
      <c r="C56" s="251"/>
      <c r="D56" s="137"/>
      <c r="E56" s="137"/>
      <c r="F56" s="62"/>
      <c r="G56" s="135"/>
      <c r="H56" s="153"/>
      <c r="I56" s="65"/>
      <c r="J56" s="65"/>
      <c r="K56" s="65"/>
      <c r="L56" s="65"/>
    </row>
    <row r="57" spans="1:12" ht="26" x14ac:dyDescent="0.25">
      <c r="A57" s="136"/>
      <c r="B57" s="139" t="s">
        <v>324</v>
      </c>
      <c r="C57" s="251"/>
      <c r="D57" s="137"/>
      <c r="E57" s="137"/>
      <c r="F57" s="62"/>
      <c r="G57" s="135"/>
      <c r="H57" s="153"/>
      <c r="I57" s="65"/>
      <c r="J57" s="65"/>
      <c r="K57" s="65"/>
      <c r="L57" s="65"/>
    </row>
    <row r="58" spans="1:12" ht="26" x14ac:dyDescent="0.25">
      <c r="A58" s="136"/>
      <c r="B58" s="71" t="s">
        <v>314</v>
      </c>
      <c r="C58" s="251">
        <v>197</v>
      </c>
      <c r="D58" s="137">
        <f>'الصادر بعد الجرد'!Y58</f>
        <v>0</v>
      </c>
      <c r="E58" s="137">
        <f>'الوارد بعد الجرد'!AC58</f>
        <v>0</v>
      </c>
      <c r="F58" s="62">
        <f t="shared" si="0"/>
        <v>197</v>
      </c>
      <c r="G58" s="163">
        <v>40</v>
      </c>
      <c r="H58" s="153">
        <f t="shared" si="3"/>
        <v>7880</v>
      </c>
      <c r="I58" s="65"/>
      <c r="J58" s="65"/>
      <c r="K58" s="65"/>
      <c r="L58" s="65"/>
    </row>
    <row r="59" spans="1:12" ht="26" x14ac:dyDescent="0.25">
      <c r="A59" s="136"/>
      <c r="B59" s="71" t="s">
        <v>315</v>
      </c>
      <c r="C59" s="251">
        <v>205</v>
      </c>
      <c r="D59" s="137">
        <f>'الصادر بعد الجرد'!Y59</f>
        <v>0</v>
      </c>
      <c r="E59" s="137">
        <f>'الوارد بعد الجرد'!AC59</f>
        <v>0</v>
      </c>
      <c r="F59" s="62">
        <f t="shared" si="0"/>
        <v>205</v>
      </c>
      <c r="G59" s="163">
        <v>40</v>
      </c>
      <c r="H59" s="153">
        <f t="shared" si="3"/>
        <v>8200</v>
      </c>
      <c r="I59" s="65"/>
      <c r="J59" s="65"/>
      <c r="K59" s="65"/>
      <c r="L59" s="65"/>
    </row>
    <row r="60" spans="1:12" ht="26" x14ac:dyDescent="0.25">
      <c r="A60" s="136"/>
      <c r="B60" s="71" t="s">
        <v>316</v>
      </c>
      <c r="C60" s="251">
        <v>208</v>
      </c>
      <c r="D60" s="137">
        <f>'الصادر بعد الجرد'!Y60</f>
        <v>0</v>
      </c>
      <c r="E60" s="137">
        <f>'الوارد بعد الجرد'!AC60</f>
        <v>0</v>
      </c>
      <c r="F60" s="62">
        <f t="shared" si="0"/>
        <v>208</v>
      </c>
      <c r="G60" s="163">
        <v>40</v>
      </c>
      <c r="H60" s="153">
        <f t="shared" si="3"/>
        <v>8320</v>
      </c>
      <c r="I60" s="65"/>
      <c r="J60" s="65"/>
      <c r="K60" s="65"/>
      <c r="L60" s="65"/>
    </row>
    <row r="61" spans="1:12" ht="26" x14ac:dyDescent="0.25">
      <c r="A61" s="136"/>
      <c r="B61" s="71" t="s">
        <v>317</v>
      </c>
      <c r="C61" s="251">
        <v>200</v>
      </c>
      <c r="D61" s="137">
        <f>'الصادر بعد الجرد'!Y61</f>
        <v>0</v>
      </c>
      <c r="E61" s="137">
        <f>'الوارد بعد الجرد'!AC61</f>
        <v>0</v>
      </c>
      <c r="F61" s="62">
        <f t="shared" si="0"/>
        <v>200</v>
      </c>
      <c r="G61" s="163">
        <v>40</v>
      </c>
      <c r="H61" s="153">
        <f t="shared" si="3"/>
        <v>8000</v>
      </c>
      <c r="I61" s="65"/>
      <c r="J61" s="65"/>
      <c r="K61" s="65"/>
      <c r="L61" s="65"/>
    </row>
    <row r="62" spans="1:12" ht="26" x14ac:dyDescent="0.25">
      <c r="A62" s="136"/>
      <c r="B62" s="71" t="s">
        <v>318</v>
      </c>
      <c r="C62" s="251">
        <v>204</v>
      </c>
      <c r="D62" s="137">
        <f>'الصادر بعد الجرد'!Y62</f>
        <v>0</v>
      </c>
      <c r="E62" s="137">
        <f>'الوارد بعد الجرد'!AC62</f>
        <v>0</v>
      </c>
      <c r="F62" s="62">
        <f t="shared" si="0"/>
        <v>204</v>
      </c>
      <c r="G62" s="163">
        <v>40</v>
      </c>
      <c r="H62" s="153">
        <f t="shared" si="3"/>
        <v>8160</v>
      </c>
      <c r="I62" s="65"/>
      <c r="J62" s="65"/>
      <c r="K62" s="65"/>
      <c r="L62" s="65"/>
    </row>
    <row r="63" spans="1:12" ht="26" x14ac:dyDescent="0.25">
      <c r="A63" s="136"/>
      <c r="B63" s="71" t="s">
        <v>319</v>
      </c>
      <c r="C63" s="251">
        <v>206</v>
      </c>
      <c r="D63" s="137">
        <f>'الصادر بعد الجرد'!Y63</f>
        <v>0</v>
      </c>
      <c r="E63" s="137">
        <f>'الوارد بعد الجرد'!AC63</f>
        <v>0</v>
      </c>
      <c r="F63" s="62">
        <f t="shared" si="0"/>
        <v>206</v>
      </c>
      <c r="G63" s="163">
        <v>40</v>
      </c>
      <c r="H63" s="153">
        <f t="shared" si="3"/>
        <v>8240</v>
      </c>
      <c r="I63" s="65"/>
      <c r="J63" s="65"/>
      <c r="K63" s="65"/>
      <c r="L63" s="65"/>
    </row>
    <row r="64" spans="1:12" ht="26" x14ac:dyDescent="0.25">
      <c r="A64" s="136"/>
      <c r="B64" s="71" t="s">
        <v>320</v>
      </c>
      <c r="C64" s="251">
        <v>198</v>
      </c>
      <c r="D64" s="137">
        <f>'الصادر بعد الجرد'!Y64</f>
        <v>0</v>
      </c>
      <c r="E64" s="137">
        <f>'الوارد بعد الجرد'!AC64</f>
        <v>0</v>
      </c>
      <c r="F64" s="62">
        <f t="shared" si="0"/>
        <v>198</v>
      </c>
      <c r="G64" s="163">
        <v>40</v>
      </c>
      <c r="H64" s="153">
        <f t="shared" si="3"/>
        <v>7920</v>
      </c>
      <c r="I64" s="65"/>
      <c r="J64" s="65"/>
      <c r="K64" s="65"/>
      <c r="L64" s="65"/>
    </row>
    <row r="65" spans="1:12" ht="26" x14ac:dyDescent="0.25">
      <c r="A65" s="138"/>
      <c r="B65" s="71" t="s">
        <v>321</v>
      </c>
      <c r="C65" s="251">
        <v>202</v>
      </c>
      <c r="D65" s="137">
        <f>'الصادر بعد الجرد'!Y65</f>
        <v>0</v>
      </c>
      <c r="E65" s="137">
        <f>'الوارد بعد الجرد'!AC65</f>
        <v>0</v>
      </c>
      <c r="F65" s="62">
        <f t="shared" si="0"/>
        <v>202</v>
      </c>
      <c r="G65" s="163">
        <v>40</v>
      </c>
      <c r="H65" s="153">
        <f t="shared" si="3"/>
        <v>8080</v>
      </c>
      <c r="I65" s="138"/>
      <c r="J65" s="138"/>
      <c r="K65" s="138"/>
      <c r="L65" s="138"/>
    </row>
    <row r="66" spans="1:12" ht="26" x14ac:dyDescent="0.25">
      <c r="A66" s="138"/>
      <c r="B66" s="71" t="s">
        <v>322</v>
      </c>
      <c r="C66" s="251">
        <v>201</v>
      </c>
      <c r="D66" s="137">
        <f>'الصادر بعد الجرد'!Y66</f>
        <v>0</v>
      </c>
      <c r="E66" s="137">
        <f>'الوارد بعد الجرد'!AC66</f>
        <v>0</v>
      </c>
      <c r="F66" s="62">
        <f t="shared" si="0"/>
        <v>201</v>
      </c>
      <c r="G66" s="163">
        <v>40</v>
      </c>
      <c r="H66" s="153">
        <f t="shared" si="3"/>
        <v>8040</v>
      </c>
      <c r="I66" s="138"/>
      <c r="J66" s="138"/>
      <c r="K66" s="138"/>
      <c r="L66" s="138"/>
    </row>
    <row r="67" spans="1:12" ht="26" x14ac:dyDescent="0.25">
      <c r="A67" s="138"/>
      <c r="B67" s="71"/>
      <c r="C67" s="251"/>
      <c r="D67" s="137"/>
      <c r="E67" s="137"/>
      <c r="F67" s="62"/>
      <c r="G67" s="62"/>
      <c r="H67" s="153"/>
      <c r="I67" s="138"/>
      <c r="J67" s="138"/>
      <c r="K67" s="138"/>
      <c r="L67" s="138"/>
    </row>
    <row r="68" spans="1:12" ht="26" x14ac:dyDescent="0.25">
      <c r="A68" s="138"/>
      <c r="B68" s="139" t="s">
        <v>60</v>
      </c>
      <c r="C68" s="251"/>
      <c r="D68" s="137"/>
      <c r="E68" s="137"/>
      <c r="F68" s="62"/>
      <c r="G68" s="62"/>
      <c r="H68" s="153"/>
      <c r="I68" s="138"/>
      <c r="J68" s="138"/>
      <c r="K68" s="138"/>
      <c r="L68" s="138"/>
    </row>
    <row r="69" spans="1:12" ht="26" x14ac:dyDescent="0.25">
      <c r="A69" s="145">
        <v>1</v>
      </c>
      <c r="B69" s="72" t="s">
        <v>61</v>
      </c>
      <c r="C69" s="251">
        <v>28</v>
      </c>
      <c r="D69" s="137">
        <f>'الصادر بعد الجرد'!Y69</f>
        <v>0</v>
      </c>
      <c r="E69" s="137">
        <f>'الوارد بعد الجرد'!AC69</f>
        <v>0</v>
      </c>
      <c r="F69" s="62">
        <f t="shared" si="0"/>
        <v>28</v>
      </c>
      <c r="G69" s="135">
        <v>540</v>
      </c>
      <c r="H69" s="153">
        <f t="shared" si="3"/>
        <v>15120</v>
      </c>
      <c r="I69" s="65"/>
      <c r="J69" s="65">
        <v>25</v>
      </c>
      <c r="K69" s="65">
        <f t="shared" ref="K69:K90" si="8">J69/4</f>
        <v>6.25</v>
      </c>
      <c r="L69" s="65">
        <f t="shared" ref="L69:L88" si="9">F69-K69</f>
        <v>21.75</v>
      </c>
    </row>
    <row r="70" spans="1:12" ht="26" x14ac:dyDescent="0.25">
      <c r="A70" s="145">
        <v>2</v>
      </c>
      <c r="B70" s="72" t="s">
        <v>62</v>
      </c>
      <c r="C70" s="251"/>
      <c r="D70" s="137">
        <f>'الصادر بعد الجرد'!Y70</f>
        <v>0</v>
      </c>
      <c r="E70" s="137">
        <f>'الوارد بعد الجرد'!AC70</f>
        <v>0</v>
      </c>
      <c r="F70" s="62">
        <f t="shared" si="0"/>
        <v>0</v>
      </c>
      <c r="G70" s="135">
        <v>540</v>
      </c>
      <c r="H70" s="153">
        <f t="shared" si="3"/>
        <v>0</v>
      </c>
      <c r="I70" s="65"/>
      <c r="J70" s="65">
        <v>5</v>
      </c>
      <c r="K70" s="65">
        <f t="shared" si="8"/>
        <v>1.25</v>
      </c>
      <c r="L70" s="65">
        <f t="shared" si="9"/>
        <v>-1.25</v>
      </c>
    </row>
    <row r="71" spans="1:12" ht="26" x14ac:dyDescent="0.25">
      <c r="A71" s="145">
        <v>3</v>
      </c>
      <c r="B71" s="72" t="s">
        <v>63</v>
      </c>
      <c r="C71" s="251"/>
      <c r="D71" s="137">
        <f>'الصادر بعد الجرد'!Y71</f>
        <v>0</v>
      </c>
      <c r="E71" s="137">
        <f>'الوارد بعد الجرد'!AC71</f>
        <v>0</v>
      </c>
      <c r="F71" s="62">
        <f t="shared" si="0"/>
        <v>0</v>
      </c>
      <c r="G71" s="135">
        <v>1225</v>
      </c>
      <c r="H71" s="153">
        <f t="shared" si="3"/>
        <v>0</v>
      </c>
      <c r="I71" s="65"/>
      <c r="J71" s="65">
        <v>4</v>
      </c>
      <c r="K71" s="65">
        <f t="shared" si="8"/>
        <v>1</v>
      </c>
      <c r="L71" s="65">
        <f t="shared" si="9"/>
        <v>-1</v>
      </c>
    </row>
    <row r="72" spans="1:12" ht="26" x14ac:dyDescent="0.25">
      <c r="A72" s="145">
        <v>4</v>
      </c>
      <c r="B72" s="72" t="s">
        <v>64</v>
      </c>
      <c r="C72" s="251">
        <v>7</v>
      </c>
      <c r="D72" s="137">
        <f>'الصادر بعد الجرد'!Y72</f>
        <v>0</v>
      </c>
      <c r="E72" s="137">
        <f>'الوارد بعد الجرد'!AC72</f>
        <v>0</v>
      </c>
      <c r="F72" s="62">
        <f t="shared" si="0"/>
        <v>7</v>
      </c>
      <c r="G72" s="135">
        <v>500</v>
      </c>
      <c r="H72" s="153">
        <f t="shared" si="3"/>
        <v>3500</v>
      </c>
      <c r="I72" s="65"/>
      <c r="J72" s="65">
        <v>10</v>
      </c>
      <c r="K72" s="65">
        <f t="shared" si="8"/>
        <v>2.5</v>
      </c>
      <c r="L72" s="65">
        <f t="shared" si="9"/>
        <v>4.5</v>
      </c>
    </row>
    <row r="73" spans="1:12" ht="26" x14ac:dyDescent="0.25">
      <c r="A73" s="145">
        <v>5</v>
      </c>
      <c r="B73" s="72" t="s">
        <v>65</v>
      </c>
      <c r="C73" s="251"/>
      <c r="D73" s="137">
        <f>'الصادر بعد الجرد'!Y73</f>
        <v>0</v>
      </c>
      <c r="E73" s="137">
        <f>'الوارد بعد الجرد'!AC73</f>
        <v>0</v>
      </c>
      <c r="F73" s="62">
        <f t="shared" si="0"/>
        <v>0</v>
      </c>
      <c r="G73" s="135">
        <v>520</v>
      </c>
      <c r="H73" s="153">
        <f t="shared" si="3"/>
        <v>0</v>
      </c>
      <c r="I73" s="65"/>
      <c r="J73" s="65">
        <v>3</v>
      </c>
      <c r="K73" s="65">
        <f t="shared" si="8"/>
        <v>0.75</v>
      </c>
      <c r="L73" s="65">
        <f t="shared" si="9"/>
        <v>-0.75</v>
      </c>
    </row>
    <row r="74" spans="1:12" ht="26" x14ac:dyDescent="0.25">
      <c r="A74" s="145">
        <v>6</v>
      </c>
      <c r="B74" s="72" t="s">
        <v>66</v>
      </c>
      <c r="C74" s="251"/>
      <c r="D74" s="137">
        <f>'الصادر بعد الجرد'!Y74</f>
        <v>0</v>
      </c>
      <c r="E74" s="137">
        <f>'الوارد بعد الجرد'!AC74</f>
        <v>0</v>
      </c>
      <c r="F74" s="62">
        <f t="shared" si="0"/>
        <v>0</v>
      </c>
      <c r="G74" s="135">
        <v>980</v>
      </c>
      <c r="H74" s="153">
        <f t="shared" si="3"/>
        <v>0</v>
      </c>
      <c r="I74" s="65"/>
      <c r="J74" s="65">
        <v>3</v>
      </c>
      <c r="K74" s="65">
        <f t="shared" si="8"/>
        <v>0.75</v>
      </c>
      <c r="L74" s="65">
        <f t="shared" si="9"/>
        <v>-0.75</v>
      </c>
    </row>
    <row r="75" spans="1:12" ht="26" x14ac:dyDescent="0.25">
      <c r="A75" s="145">
        <v>7</v>
      </c>
      <c r="B75" s="72" t="s">
        <v>67</v>
      </c>
      <c r="C75" s="251">
        <v>8</v>
      </c>
      <c r="D75" s="137">
        <f>'الصادر بعد الجرد'!Y75</f>
        <v>0</v>
      </c>
      <c r="E75" s="137">
        <f>'الوارد بعد الجرد'!AC75</f>
        <v>0</v>
      </c>
      <c r="F75" s="62">
        <f t="shared" si="0"/>
        <v>8</v>
      </c>
      <c r="G75" s="135">
        <v>425</v>
      </c>
      <c r="H75" s="153">
        <f t="shared" si="3"/>
        <v>3400</v>
      </c>
      <c r="I75" s="65"/>
      <c r="J75" s="65">
        <v>15</v>
      </c>
      <c r="K75" s="65">
        <f t="shared" si="8"/>
        <v>3.75</v>
      </c>
      <c r="L75" s="65">
        <f t="shared" si="9"/>
        <v>4.25</v>
      </c>
    </row>
    <row r="76" spans="1:12" ht="26" x14ac:dyDescent="0.25">
      <c r="A76" s="145">
        <v>8</v>
      </c>
      <c r="B76" s="72" t="s">
        <v>68</v>
      </c>
      <c r="C76" s="251"/>
      <c r="D76" s="137">
        <f>'الصادر بعد الجرد'!Y76</f>
        <v>0</v>
      </c>
      <c r="E76" s="137">
        <f>'الوارد بعد الجرد'!AC76</f>
        <v>0</v>
      </c>
      <c r="F76" s="62">
        <f t="shared" si="0"/>
        <v>0</v>
      </c>
      <c r="G76" s="135">
        <v>440</v>
      </c>
      <c r="H76" s="153">
        <f t="shared" si="3"/>
        <v>0</v>
      </c>
      <c r="I76" s="65"/>
      <c r="J76" s="65">
        <v>3</v>
      </c>
      <c r="K76" s="65">
        <f t="shared" si="8"/>
        <v>0.75</v>
      </c>
      <c r="L76" s="65">
        <f t="shared" si="9"/>
        <v>-0.75</v>
      </c>
    </row>
    <row r="77" spans="1:12" ht="26" x14ac:dyDescent="0.25">
      <c r="A77" s="145">
        <v>9</v>
      </c>
      <c r="B77" s="72" t="s">
        <v>69</v>
      </c>
      <c r="C77" s="251">
        <v>24</v>
      </c>
      <c r="D77" s="137">
        <f>'الصادر بعد الجرد'!Y77</f>
        <v>0</v>
      </c>
      <c r="E77" s="137">
        <f>'الوارد بعد الجرد'!AC77</f>
        <v>0</v>
      </c>
      <c r="F77" s="62">
        <f t="shared" si="0"/>
        <v>24</v>
      </c>
      <c r="G77" s="135">
        <v>500</v>
      </c>
      <c r="H77" s="153">
        <f t="shared" si="3"/>
        <v>12000</v>
      </c>
      <c r="I77" s="65"/>
      <c r="J77" s="65">
        <v>3</v>
      </c>
      <c r="K77" s="65">
        <f t="shared" si="8"/>
        <v>0.75</v>
      </c>
      <c r="L77" s="65">
        <f t="shared" si="9"/>
        <v>23.25</v>
      </c>
    </row>
    <row r="78" spans="1:12" ht="26" x14ac:dyDescent="0.25">
      <c r="A78" s="145">
        <v>10</v>
      </c>
      <c r="B78" s="72" t="s">
        <v>70</v>
      </c>
      <c r="C78" s="251">
        <v>7</v>
      </c>
      <c r="D78" s="137">
        <f>'الصادر بعد الجرد'!Y78</f>
        <v>0</v>
      </c>
      <c r="E78" s="137">
        <f>'الوارد بعد الجرد'!AC78</f>
        <v>0</v>
      </c>
      <c r="F78" s="62">
        <f t="shared" si="0"/>
        <v>7</v>
      </c>
      <c r="G78" s="135">
        <v>980</v>
      </c>
      <c r="H78" s="153">
        <f t="shared" si="3"/>
        <v>6860</v>
      </c>
      <c r="I78" s="65"/>
      <c r="J78" s="65">
        <v>1</v>
      </c>
      <c r="K78" s="65">
        <f t="shared" si="8"/>
        <v>0.25</v>
      </c>
      <c r="L78" s="65">
        <f t="shared" si="9"/>
        <v>6.75</v>
      </c>
    </row>
    <row r="79" spans="1:12" ht="26" x14ac:dyDescent="0.25">
      <c r="A79" s="145">
        <v>11</v>
      </c>
      <c r="B79" s="72" t="s">
        <v>71</v>
      </c>
      <c r="C79" s="251">
        <v>8</v>
      </c>
      <c r="D79" s="137">
        <f>'الصادر بعد الجرد'!Y79</f>
        <v>0</v>
      </c>
      <c r="E79" s="137">
        <f>'الوارد بعد الجرد'!AC79</f>
        <v>0</v>
      </c>
      <c r="F79" s="62">
        <f t="shared" ref="F79:F142" si="10">C79-D79+E79</f>
        <v>8</v>
      </c>
      <c r="G79" s="135">
        <v>400</v>
      </c>
      <c r="H79" s="153">
        <f t="shared" si="3"/>
        <v>3200</v>
      </c>
      <c r="I79" s="65"/>
      <c r="J79" s="65">
        <v>15</v>
      </c>
      <c r="K79" s="65">
        <f t="shared" si="8"/>
        <v>3.75</v>
      </c>
      <c r="L79" s="65">
        <f t="shared" si="9"/>
        <v>4.25</v>
      </c>
    </row>
    <row r="80" spans="1:12" ht="26" x14ac:dyDescent="0.25">
      <c r="A80" s="145">
        <v>12</v>
      </c>
      <c r="B80" s="72" t="s">
        <v>72</v>
      </c>
      <c r="C80" s="251">
        <v>21</v>
      </c>
      <c r="D80" s="137">
        <f>'الصادر بعد الجرد'!Y80</f>
        <v>7</v>
      </c>
      <c r="E80" s="137">
        <f>'الوارد بعد الجرد'!AC80</f>
        <v>0</v>
      </c>
      <c r="F80" s="62">
        <f t="shared" si="10"/>
        <v>14</v>
      </c>
      <c r="G80" s="135">
        <v>85</v>
      </c>
      <c r="H80" s="153">
        <f t="shared" ref="H80:H143" si="11">G80*F80</f>
        <v>1190</v>
      </c>
      <c r="I80" s="65"/>
      <c r="J80" s="65">
        <v>15</v>
      </c>
      <c r="K80" s="65">
        <f t="shared" si="8"/>
        <v>3.75</v>
      </c>
      <c r="L80" s="65">
        <f t="shared" si="9"/>
        <v>10.25</v>
      </c>
    </row>
    <row r="81" spans="1:16" ht="26" x14ac:dyDescent="0.25">
      <c r="A81" s="145">
        <v>13</v>
      </c>
      <c r="B81" s="72" t="s">
        <v>73</v>
      </c>
      <c r="C81" s="251">
        <v>14</v>
      </c>
      <c r="D81" s="137">
        <f>'الصادر بعد الجرد'!Y81</f>
        <v>0</v>
      </c>
      <c r="E81" s="137">
        <f>'الوارد بعد الجرد'!AC81</f>
        <v>0</v>
      </c>
      <c r="F81" s="62">
        <f t="shared" si="10"/>
        <v>14</v>
      </c>
      <c r="G81" s="135">
        <v>545</v>
      </c>
      <c r="H81" s="153">
        <f t="shared" si="11"/>
        <v>7630</v>
      </c>
      <c r="I81" s="65"/>
      <c r="J81" s="65">
        <v>10</v>
      </c>
      <c r="K81" s="65">
        <f t="shared" si="8"/>
        <v>2.5</v>
      </c>
      <c r="L81" s="65">
        <f t="shared" si="9"/>
        <v>11.5</v>
      </c>
    </row>
    <row r="82" spans="1:16" ht="26" x14ac:dyDescent="0.25">
      <c r="A82" s="145">
        <v>14</v>
      </c>
      <c r="B82" s="72" t="s">
        <v>74</v>
      </c>
      <c r="C82" s="251">
        <v>9</v>
      </c>
      <c r="D82" s="137">
        <f>'الصادر بعد الجرد'!Y82</f>
        <v>0</v>
      </c>
      <c r="E82" s="137">
        <f>'الوارد بعد الجرد'!AC82</f>
        <v>0</v>
      </c>
      <c r="F82" s="62">
        <f t="shared" si="10"/>
        <v>9</v>
      </c>
      <c r="G82" s="135">
        <v>610</v>
      </c>
      <c r="H82" s="153">
        <f t="shared" si="11"/>
        <v>5490</v>
      </c>
      <c r="I82" s="65"/>
      <c r="J82" s="65">
        <v>10</v>
      </c>
      <c r="K82" s="65">
        <f t="shared" si="8"/>
        <v>2.5</v>
      </c>
      <c r="L82" s="65">
        <f t="shared" si="9"/>
        <v>6.5</v>
      </c>
      <c r="M82" s="359" t="s">
        <v>238</v>
      </c>
      <c r="N82" s="359"/>
      <c r="O82" s="359"/>
      <c r="P82" s="359"/>
    </row>
    <row r="83" spans="1:16" ht="26" x14ac:dyDescent="0.25">
      <c r="A83" s="145">
        <v>15</v>
      </c>
      <c r="B83" s="72" t="s">
        <v>75</v>
      </c>
      <c r="C83" s="251">
        <v>26</v>
      </c>
      <c r="D83" s="137">
        <f>'الصادر بعد الجرد'!Y83</f>
        <v>0</v>
      </c>
      <c r="E83" s="137">
        <f>'الوارد بعد الجرد'!AC83</f>
        <v>0</v>
      </c>
      <c r="F83" s="62">
        <f t="shared" si="10"/>
        <v>26</v>
      </c>
      <c r="G83" s="135">
        <v>610</v>
      </c>
      <c r="H83" s="153">
        <f t="shared" si="11"/>
        <v>15860</v>
      </c>
      <c r="I83" s="65"/>
      <c r="J83" s="65">
        <v>40</v>
      </c>
      <c r="K83" s="65">
        <f t="shared" si="8"/>
        <v>10</v>
      </c>
      <c r="L83" s="65">
        <f t="shared" si="9"/>
        <v>16</v>
      </c>
    </row>
    <row r="84" spans="1:16" ht="26" x14ac:dyDescent="0.25">
      <c r="A84" s="145">
        <v>16</v>
      </c>
      <c r="B84" s="72" t="s">
        <v>76</v>
      </c>
      <c r="C84" s="251"/>
      <c r="D84" s="137">
        <f>'الصادر بعد الجرد'!Y84</f>
        <v>0</v>
      </c>
      <c r="E84" s="137">
        <f>'الوارد بعد الجرد'!AC84</f>
        <v>0</v>
      </c>
      <c r="F84" s="62">
        <f t="shared" si="10"/>
        <v>0</v>
      </c>
      <c r="G84" s="135">
        <v>980</v>
      </c>
      <c r="H84" s="153">
        <f t="shared" si="11"/>
        <v>0</v>
      </c>
      <c r="I84" s="65"/>
      <c r="J84" s="65">
        <v>1</v>
      </c>
      <c r="K84" s="65">
        <f t="shared" si="8"/>
        <v>0.25</v>
      </c>
      <c r="L84" s="65">
        <f t="shared" si="9"/>
        <v>-0.25</v>
      </c>
    </row>
    <row r="85" spans="1:16" ht="26" x14ac:dyDescent="0.25">
      <c r="A85" s="145">
        <v>17</v>
      </c>
      <c r="B85" s="72" t="s">
        <v>77</v>
      </c>
      <c r="C85" s="251"/>
      <c r="D85" s="137">
        <f>'الصادر بعد الجرد'!Y85</f>
        <v>0</v>
      </c>
      <c r="E85" s="137">
        <f>'الوارد بعد الجرد'!AC85</f>
        <v>0</v>
      </c>
      <c r="F85" s="62">
        <f t="shared" si="10"/>
        <v>0</v>
      </c>
      <c r="G85" s="135">
        <v>700</v>
      </c>
      <c r="H85" s="153">
        <f t="shared" si="11"/>
        <v>0</v>
      </c>
      <c r="I85" s="65"/>
      <c r="J85" s="65">
        <v>3</v>
      </c>
      <c r="K85" s="65">
        <f t="shared" si="8"/>
        <v>0.75</v>
      </c>
      <c r="L85" s="65">
        <f t="shared" si="9"/>
        <v>-0.75</v>
      </c>
    </row>
    <row r="86" spans="1:16" ht="26" x14ac:dyDescent="0.25">
      <c r="A86" s="145">
        <v>18</v>
      </c>
      <c r="B86" s="72" t="s">
        <v>78</v>
      </c>
      <c r="C86" s="251"/>
      <c r="D86" s="137">
        <f>'الصادر بعد الجرد'!Y86</f>
        <v>0</v>
      </c>
      <c r="E86" s="137">
        <f>'الوارد بعد الجرد'!AC86</f>
        <v>0</v>
      </c>
      <c r="F86" s="62">
        <f t="shared" si="10"/>
        <v>0</v>
      </c>
      <c r="G86" s="62"/>
      <c r="H86" s="153">
        <f t="shared" si="11"/>
        <v>0</v>
      </c>
      <c r="I86" s="65"/>
      <c r="J86" s="65"/>
      <c r="K86" s="65">
        <f t="shared" si="8"/>
        <v>0</v>
      </c>
      <c r="L86" s="65">
        <f t="shared" si="9"/>
        <v>0</v>
      </c>
    </row>
    <row r="87" spans="1:16" ht="26" x14ac:dyDescent="0.25">
      <c r="A87" s="145">
        <v>19</v>
      </c>
      <c r="B87" s="72" t="s">
        <v>79</v>
      </c>
      <c r="C87" s="251">
        <v>0</v>
      </c>
      <c r="D87" s="137">
        <f>'الصادر بعد الجرد'!Y87</f>
        <v>0</v>
      </c>
      <c r="E87" s="137">
        <f>'الوارد بعد الجرد'!AC87</f>
        <v>0</v>
      </c>
      <c r="F87" s="62">
        <f t="shared" si="10"/>
        <v>0</v>
      </c>
      <c r="G87" s="135">
        <v>1640</v>
      </c>
      <c r="H87" s="153">
        <f t="shared" si="11"/>
        <v>0</v>
      </c>
      <c r="I87" s="65"/>
      <c r="J87" s="65">
        <v>3</v>
      </c>
      <c r="K87" s="65">
        <f t="shared" si="8"/>
        <v>0.75</v>
      </c>
      <c r="L87" s="65">
        <f t="shared" si="9"/>
        <v>-0.75</v>
      </c>
    </row>
    <row r="88" spans="1:16" ht="26" x14ac:dyDescent="0.25">
      <c r="A88" s="145">
        <v>20</v>
      </c>
      <c r="B88" s="72" t="s">
        <v>80</v>
      </c>
      <c r="C88" s="251"/>
      <c r="D88" s="137">
        <f>'الصادر بعد الجرد'!Y88</f>
        <v>0</v>
      </c>
      <c r="E88" s="137">
        <f>'الوارد بعد الجرد'!AC88</f>
        <v>0</v>
      </c>
      <c r="F88" s="62">
        <f t="shared" si="10"/>
        <v>0</v>
      </c>
      <c r="G88" s="135">
        <v>695</v>
      </c>
      <c r="H88" s="153">
        <f t="shared" si="11"/>
        <v>0</v>
      </c>
      <c r="I88" s="65"/>
      <c r="J88" s="65">
        <v>10</v>
      </c>
      <c r="K88" s="65">
        <f t="shared" si="8"/>
        <v>2.5</v>
      </c>
      <c r="L88" s="65">
        <f t="shared" si="9"/>
        <v>-2.5</v>
      </c>
    </row>
    <row r="89" spans="1:16" ht="26" x14ac:dyDescent="0.25">
      <c r="A89" s="145">
        <v>21</v>
      </c>
      <c r="B89" s="72" t="s">
        <v>302</v>
      </c>
      <c r="C89" s="251">
        <v>4</v>
      </c>
      <c r="D89" s="137">
        <f>'الصادر بعد الجرد'!Y89</f>
        <v>0</v>
      </c>
      <c r="E89" s="137">
        <f>'الوارد بعد الجرد'!AC89</f>
        <v>0</v>
      </c>
      <c r="F89" s="62">
        <f t="shared" si="10"/>
        <v>4</v>
      </c>
      <c r="G89" s="164">
        <v>730</v>
      </c>
      <c r="H89" s="153">
        <f t="shared" si="11"/>
        <v>2920</v>
      </c>
      <c r="I89" s="65"/>
      <c r="J89" s="65"/>
      <c r="K89" s="65"/>
      <c r="L89" s="65"/>
    </row>
    <row r="90" spans="1:16" ht="26" x14ac:dyDescent="0.25">
      <c r="A90" s="145">
        <v>22</v>
      </c>
      <c r="B90" s="72" t="s">
        <v>81</v>
      </c>
      <c r="C90" s="251"/>
      <c r="D90" s="137">
        <f>'الصادر بعد الجرد'!Y90</f>
        <v>0</v>
      </c>
      <c r="E90" s="137">
        <f>'الوارد بعد الجرد'!AC90</f>
        <v>0</v>
      </c>
      <c r="F90" s="62">
        <f t="shared" si="10"/>
        <v>0</v>
      </c>
      <c r="G90" s="135">
        <v>2340</v>
      </c>
      <c r="H90" s="153">
        <f t="shared" si="11"/>
        <v>0</v>
      </c>
      <c r="I90" s="65"/>
      <c r="J90" s="65">
        <v>1</v>
      </c>
      <c r="K90" s="65">
        <f t="shared" si="8"/>
        <v>0.25</v>
      </c>
      <c r="L90" s="65">
        <f>F90-K90</f>
        <v>-0.25</v>
      </c>
    </row>
    <row r="91" spans="1:16" ht="26" x14ac:dyDescent="0.2">
      <c r="A91" s="138"/>
      <c r="B91" s="138"/>
      <c r="C91" s="251"/>
      <c r="D91" s="137"/>
      <c r="E91" s="137"/>
      <c r="F91" s="62"/>
      <c r="G91" s="62"/>
      <c r="H91" s="153"/>
      <c r="I91" s="138"/>
      <c r="J91" s="138"/>
      <c r="K91" s="138"/>
      <c r="L91" s="138"/>
      <c r="M91"/>
    </row>
    <row r="92" spans="1:16" ht="29" x14ac:dyDescent="0.35">
      <c r="A92" s="138"/>
      <c r="B92" s="140" t="s">
        <v>82</v>
      </c>
      <c r="C92" s="251"/>
      <c r="D92" s="137"/>
      <c r="E92" s="137"/>
      <c r="F92" s="62"/>
      <c r="G92" s="62"/>
      <c r="H92" s="153"/>
      <c r="I92" s="138"/>
      <c r="J92" s="138"/>
      <c r="K92" s="138"/>
      <c r="L92" s="138"/>
      <c r="M92"/>
    </row>
    <row r="93" spans="1:16" ht="26" x14ac:dyDescent="0.25">
      <c r="A93" s="145">
        <v>1</v>
      </c>
      <c r="B93" s="72" t="s">
        <v>83</v>
      </c>
      <c r="C93" s="251">
        <v>14</v>
      </c>
      <c r="D93" s="137">
        <f>'الصادر بعد الجرد'!Y93</f>
        <v>0</v>
      </c>
      <c r="E93" s="137">
        <f>'الوارد بعد الجرد'!AC93</f>
        <v>0</v>
      </c>
      <c r="F93" s="62">
        <f t="shared" si="10"/>
        <v>14</v>
      </c>
      <c r="G93" s="135">
        <v>10</v>
      </c>
      <c r="H93" s="153">
        <f t="shared" si="11"/>
        <v>140</v>
      </c>
      <c r="I93" s="65">
        <v>25</v>
      </c>
      <c r="J93" s="65">
        <v>30</v>
      </c>
      <c r="K93" s="65"/>
      <c r="L93" s="65"/>
    </row>
    <row r="94" spans="1:16" ht="26" x14ac:dyDescent="0.25">
      <c r="A94" s="145">
        <v>2</v>
      </c>
      <c r="B94" s="72" t="s">
        <v>84</v>
      </c>
      <c r="C94" s="251"/>
      <c r="D94" s="137">
        <f>'الصادر بعد الجرد'!Y94</f>
        <v>0</v>
      </c>
      <c r="E94" s="137">
        <f>'الوارد بعد الجرد'!AC94</f>
        <v>0</v>
      </c>
      <c r="F94" s="62">
        <f t="shared" si="10"/>
        <v>0</v>
      </c>
      <c r="G94" s="135">
        <v>10</v>
      </c>
      <c r="H94" s="153">
        <f t="shared" si="11"/>
        <v>0</v>
      </c>
      <c r="I94" s="65"/>
      <c r="J94" s="65"/>
      <c r="K94" s="65"/>
      <c r="L94" s="65"/>
    </row>
    <row r="95" spans="1:16" ht="26" x14ac:dyDescent="0.25">
      <c r="A95" s="145">
        <v>3</v>
      </c>
      <c r="B95" s="72" t="s">
        <v>85</v>
      </c>
      <c r="C95" s="251">
        <v>2</v>
      </c>
      <c r="D95" s="137">
        <f>'الصادر بعد الجرد'!Y95</f>
        <v>0</v>
      </c>
      <c r="E95" s="137">
        <f>'الوارد بعد الجرد'!AC95</f>
        <v>0</v>
      </c>
      <c r="F95" s="62">
        <f t="shared" si="10"/>
        <v>2</v>
      </c>
      <c r="G95" s="135">
        <v>10</v>
      </c>
      <c r="H95" s="153">
        <f t="shared" si="11"/>
        <v>20</v>
      </c>
      <c r="I95" s="65"/>
      <c r="J95" s="65"/>
      <c r="K95" s="65"/>
      <c r="L95" s="65"/>
    </row>
    <row r="96" spans="1:16" ht="26" x14ac:dyDescent="0.2">
      <c r="A96" s="145">
        <v>4</v>
      </c>
      <c r="B96" s="147" t="s">
        <v>86</v>
      </c>
      <c r="C96" s="251">
        <v>16</v>
      </c>
      <c r="D96" s="137">
        <f>'الصادر بعد الجرد'!Y96</f>
        <v>0</v>
      </c>
      <c r="E96" s="137">
        <f>'الوارد بعد الجرد'!AC96</f>
        <v>0</v>
      </c>
      <c r="F96" s="62">
        <f t="shared" si="10"/>
        <v>16</v>
      </c>
      <c r="G96" s="135">
        <v>10</v>
      </c>
      <c r="H96" s="153">
        <f t="shared" si="11"/>
        <v>160</v>
      </c>
      <c r="I96" s="65"/>
      <c r="J96" s="65"/>
      <c r="K96" s="65"/>
      <c r="L96" s="65"/>
    </row>
    <row r="97" spans="1:12" ht="26" x14ac:dyDescent="0.25">
      <c r="A97" s="145">
        <v>5</v>
      </c>
      <c r="B97" s="72" t="s">
        <v>87</v>
      </c>
      <c r="C97" s="251"/>
      <c r="D97" s="137">
        <f>'الصادر بعد الجرد'!Y97</f>
        <v>0</v>
      </c>
      <c r="E97" s="137">
        <f>'الوارد بعد الجرد'!AC97</f>
        <v>0</v>
      </c>
      <c r="F97" s="62">
        <f t="shared" si="10"/>
        <v>0</v>
      </c>
      <c r="G97" s="135">
        <v>10</v>
      </c>
      <c r="H97" s="153">
        <f t="shared" si="11"/>
        <v>0</v>
      </c>
      <c r="I97" s="65"/>
      <c r="J97" s="65"/>
      <c r="K97" s="65"/>
      <c r="L97" s="65"/>
    </row>
    <row r="98" spans="1:12" ht="26" x14ac:dyDescent="0.2">
      <c r="A98" s="145">
        <v>6</v>
      </c>
      <c r="B98" s="147" t="s">
        <v>88</v>
      </c>
      <c r="C98" s="251">
        <v>47</v>
      </c>
      <c r="D98" s="137">
        <f>'الصادر بعد الجرد'!Y98</f>
        <v>0</v>
      </c>
      <c r="E98" s="137">
        <f>'الوارد بعد الجرد'!AC98</f>
        <v>0</v>
      </c>
      <c r="F98" s="62">
        <f t="shared" si="10"/>
        <v>47</v>
      </c>
      <c r="G98" s="135">
        <v>10</v>
      </c>
      <c r="H98" s="153">
        <f t="shared" si="11"/>
        <v>470</v>
      </c>
      <c r="I98" s="65"/>
      <c r="J98" s="65"/>
      <c r="K98" s="65"/>
      <c r="L98" s="65"/>
    </row>
    <row r="99" spans="1:12" ht="26" x14ac:dyDescent="0.2">
      <c r="A99" s="145">
        <v>7</v>
      </c>
      <c r="B99" s="147" t="s">
        <v>89</v>
      </c>
      <c r="C99" s="251">
        <v>10</v>
      </c>
      <c r="D99" s="137">
        <f>'الصادر بعد الجرد'!Y99</f>
        <v>0</v>
      </c>
      <c r="E99" s="137">
        <f>'الوارد بعد الجرد'!AC99</f>
        <v>0</v>
      </c>
      <c r="F99" s="62">
        <f t="shared" si="10"/>
        <v>10</v>
      </c>
      <c r="G99" s="135">
        <v>40</v>
      </c>
      <c r="H99" s="153">
        <f t="shared" si="11"/>
        <v>400</v>
      </c>
      <c r="I99" s="65"/>
      <c r="J99" s="65"/>
      <c r="K99" s="65"/>
      <c r="L99" s="65"/>
    </row>
    <row r="100" spans="1:12" ht="26" x14ac:dyDescent="0.2">
      <c r="A100" s="145">
        <v>8</v>
      </c>
      <c r="B100" s="147" t="s">
        <v>90</v>
      </c>
      <c r="C100" s="251">
        <v>7</v>
      </c>
      <c r="D100" s="137">
        <f>'الصادر بعد الجرد'!Y100</f>
        <v>0</v>
      </c>
      <c r="E100" s="137">
        <f>'الوارد بعد الجرد'!AC100</f>
        <v>0</v>
      </c>
      <c r="F100" s="62">
        <f t="shared" si="10"/>
        <v>7</v>
      </c>
      <c r="G100" s="135">
        <v>10</v>
      </c>
      <c r="H100" s="153">
        <f t="shared" si="11"/>
        <v>70</v>
      </c>
      <c r="I100" s="65"/>
      <c r="J100" s="65"/>
      <c r="K100" s="65"/>
      <c r="L100" s="65"/>
    </row>
    <row r="101" spans="1:12" ht="26" x14ac:dyDescent="0.2">
      <c r="A101" s="145">
        <v>9</v>
      </c>
      <c r="B101" s="147" t="s">
        <v>91</v>
      </c>
      <c r="C101" s="251">
        <v>7</v>
      </c>
      <c r="D101" s="137">
        <f>'الصادر بعد الجرد'!Y101</f>
        <v>0</v>
      </c>
      <c r="E101" s="137">
        <f>'الوارد بعد الجرد'!AC101</f>
        <v>0</v>
      </c>
      <c r="F101" s="62">
        <f t="shared" si="10"/>
        <v>7</v>
      </c>
      <c r="G101" s="135">
        <v>10</v>
      </c>
      <c r="H101" s="153">
        <f t="shared" si="11"/>
        <v>70</v>
      </c>
      <c r="I101" s="65"/>
      <c r="J101" s="65"/>
      <c r="K101" s="65"/>
      <c r="L101" s="65"/>
    </row>
    <row r="102" spans="1:12" ht="26" x14ac:dyDescent="0.2">
      <c r="A102" s="145">
        <v>10</v>
      </c>
      <c r="B102" s="147" t="s">
        <v>92</v>
      </c>
      <c r="C102" s="251">
        <v>42</v>
      </c>
      <c r="D102" s="137">
        <f>'الصادر بعد الجرد'!Y102</f>
        <v>0</v>
      </c>
      <c r="E102" s="137">
        <f>'الوارد بعد الجرد'!AC102</f>
        <v>0</v>
      </c>
      <c r="F102" s="62">
        <f t="shared" si="10"/>
        <v>42</v>
      </c>
      <c r="G102" s="135">
        <v>10</v>
      </c>
      <c r="H102" s="153">
        <f t="shared" si="11"/>
        <v>420</v>
      </c>
      <c r="I102" s="65"/>
      <c r="J102" s="65"/>
      <c r="K102" s="65"/>
      <c r="L102" s="65"/>
    </row>
    <row r="103" spans="1:12" ht="26" x14ac:dyDescent="0.2">
      <c r="A103" s="145">
        <v>11</v>
      </c>
      <c r="B103" s="147" t="s">
        <v>93</v>
      </c>
      <c r="C103" s="251">
        <v>72</v>
      </c>
      <c r="D103" s="137">
        <f>'الصادر بعد الجرد'!Y103</f>
        <v>0</v>
      </c>
      <c r="E103" s="137">
        <f>'الوارد بعد الجرد'!AC103</f>
        <v>0</v>
      </c>
      <c r="F103" s="62">
        <f t="shared" si="10"/>
        <v>72</v>
      </c>
      <c r="G103" s="135">
        <v>10</v>
      </c>
      <c r="H103" s="153">
        <f t="shared" si="11"/>
        <v>720</v>
      </c>
      <c r="I103" s="65"/>
      <c r="J103" s="65"/>
      <c r="K103" s="65"/>
      <c r="L103" s="65"/>
    </row>
    <row r="104" spans="1:12" ht="26" x14ac:dyDescent="0.2">
      <c r="A104" s="145">
        <v>12</v>
      </c>
      <c r="B104" s="147" t="s">
        <v>94</v>
      </c>
      <c r="C104" s="251">
        <v>44</v>
      </c>
      <c r="D104" s="137">
        <f>'الصادر بعد الجرد'!Y104</f>
        <v>0</v>
      </c>
      <c r="E104" s="137">
        <f>'الوارد بعد الجرد'!AC104</f>
        <v>0</v>
      </c>
      <c r="F104" s="62">
        <f t="shared" si="10"/>
        <v>44</v>
      </c>
      <c r="G104" s="135">
        <v>10</v>
      </c>
      <c r="H104" s="153">
        <f t="shared" si="11"/>
        <v>440</v>
      </c>
      <c r="I104" s="65"/>
      <c r="J104" s="65"/>
      <c r="K104" s="65"/>
      <c r="L104" s="65"/>
    </row>
    <row r="105" spans="1:12" ht="26" x14ac:dyDescent="0.2">
      <c r="A105" s="145">
        <v>13</v>
      </c>
      <c r="B105" s="147" t="s">
        <v>95</v>
      </c>
      <c r="C105" s="251">
        <v>9</v>
      </c>
      <c r="D105" s="137">
        <f>'الصادر بعد الجرد'!Y105</f>
        <v>0</v>
      </c>
      <c r="E105" s="137">
        <f>'الوارد بعد الجرد'!AC105</f>
        <v>0</v>
      </c>
      <c r="F105" s="62">
        <f t="shared" si="10"/>
        <v>9</v>
      </c>
      <c r="G105" s="135">
        <v>10</v>
      </c>
      <c r="H105" s="153">
        <f t="shared" si="11"/>
        <v>90</v>
      </c>
      <c r="I105" s="65"/>
      <c r="J105" s="65"/>
      <c r="K105" s="65"/>
      <c r="L105" s="65"/>
    </row>
    <row r="106" spans="1:12" ht="26" x14ac:dyDescent="0.2">
      <c r="A106" s="145">
        <v>14</v>
      </c>
      <c r="B106" s="147" t="s">
        <v>96</v>
      </c>
      <c r="C106" s="251">
        <v>48</v>
      </c>
      <c r="D106" s="137">
        <f>'الصادر بعد الجرد'!Y106</f>
        <v>0</v>
      </c>
      <c r="E106" s="137">
        <f>'الوارد بعد الجرد'!AC106</f>
        <v>0</v>
      </c>
      <c r="F106" s="62">
        <f t="shared" si="10"/>
        <v>48</v>
      </c>
      <c r="G106" s="135">
        <v>10</v>
      </c>
      <c r="H106" s="153">
        <f t="shared" si="11"/>
        <v>480</v>
      </c>
      <c r="I106" s="65"/>
      <c r="J106" s="65"/>
      <c r="K106" s="65"/>
      <c r="L106" s="65"/>
    </row>
    <row r="107" spans="1:12" ht="26" x14ac:dyDescent="0.2">
      <c r="A107" s="145">
        <v>15</v>
      </c>
      <c r="B107" s="147" t="s">
        <v>97</v>
      </c>
      <c r="C107" s="251"/>
      <c r="D107" s="137">
        <f>'الصادر بعد الجرد'!Y107</f>
        <v>0</v>
      </c>
      <c r="E107" s="137">
        <f>'الوارد بعد الجرد'!AC107</f>
        <v>0</v>
      </c>
      <c r="F107" s="62">
        <f t="shared" si="10"/>
        <v>0</v>
      </c>
      <c r="G107" s="135">
        <v>135</v>
      </c>
      <c r="H107" s="153">
        <f t="shared" si="11"/>
        <v>0</v>
      </c>
      <c r="I107" s="65"/>
      <c r="J107" s="65"/>
      <c r="K107" s="65"/>
      <c r="L107" s="65"/>
    </row>
    <row r="108" spans="1:12" ht="26" x14ac:dyDescent="0.2">
      <c r="A108" s="145">
        <v>16</v>
      </c>
      <c r="B108" s="147" t="s">
        <v>98</v>
      </c>
      <c r="C108" s="251"/>
      <c r="D108" s="137">
        <f>'الصادر بعد الجرد'!Y108</f>
        <v>0</v>
      </c>
      <c r="E108" s="137">
        <f>'الوارد بعد الجرد'!AC108</f>
        <v>0</v>
      </c>
      <c r="F108" s="62">
        <f t="shared" si="10"/>
        <v>0</v>
      </c>
      <c r="G108" s="135">
        <v>10</v>
      </c>
      <c r="H108" s="153">
        <f t="shared" si="11"/>
        <v>0</v>
      </c>
      <c r="I108" s="65"/>
      <c r="J108" s="65"/>
      <c r="K108" s="65"/>
      <c r="L108" s="65"/>
    </row>
    <row r="109" spans="1:12" ht="26" x14ac:dyDescent="0.2">
      <c r="A109" s="145">
        <v>17</v>
      </c>
      <c r="B109" s="147" t="s">
        <v>99</v>
      </c>
      <c r="C109" s="251">
        <v>110</v>
      </c>
      <c r="D109" s="137">
        <f>'الصادر بعد الجرد'!Y109</f>
        <v>0</v>
      </c>
      <c r="E109" s="137">
        <f>'الوارد بعد الجرد'!AC109</f>
        <v>0</v>
      </c>
      <c r="F109" s="62">
        <f t="shared" si="10"/>
        <v>110</v>
      </c>
      <c r="G109" s="135">
        <v>10</v>
      </c>
      <c r="H109" s="153">
        <f t="shared" si="11"/>
        <v>1100</v>
      </c>
      <c r="I109" s="65"/>
      <c r="J109" s="65"/>
      <c r="K109" s="65"/>
      <c r="L109" s="65"/>
    </row>
    <row r="110" spans="1:12" ht="26" x14ac:dyDescent="0.2">
      <c r="A110" s="145">
        <v>18</v>
      </c>
      <c r="B110" s="147" t="s">
        <v>100</v>
      </c>
      <c r="C110" s="251"/>
      <c r="D110" s="137">
        <f>'الصادر بعد الجرد'!Y110</f>
        <v>0</v>
      </c>
      <c r="E110" s="137">
        <f>'الوارد بعد الجرد'!AC110</f>
        <v>0</v>
      </c>
      <c r="F110" s="62">
        <f t="shared" si="10"/>
        <v>0</v>
      </c>
      <c r="G110" s="135">
        <v>10</v>
      </c>
      <c r="H110" s="153">
        <f t="shared" si="11"/>
        <v>0</v>
      </c>
      <c r="I110" s="65"/>
      <c r="J110" s="65"/>
      <c r="K110" s="65"/>
      <c r="L110" s="65"/>
    </row>
    <row r="111" spans="1:12" ht="44" x14ac:dyDescent="0.2">
      <c r="A111" s="145">
        <v>19</v>
      </c>
      <c r="B111" s="148" t="s">
        <v>101</v>
      </c>
      <c r="C111" s="251">
        <v>41</v>
      </c>
      <c r="D111" s="137">
        <f>'الصادر بعد الجرد'!Y111</f>
        <v>0</v>
      </c>
      <c r="E111" s="137">
        <f>'الوارد بعد الجرد'!AC111</f>
        <v>0</v>
      </c>
      <c r="F111" s="62">
        <f t="shared" si="10"/>
        <v>41</v>
      </c>
      <c r="G111" s="135">
        <v>10</v>
      </c>
      <c r="H111" s="153">
        <f t="shared" si="11"/>
        <v>410</v>
      </c>
      <c r="I111" s="65"/>
      <c r="J111" s="65"/>
      <c r="K111" s="65"/>
      <c r="L111" s="65"/>
    </row>
    <row r="112" spans="1:12" ht="26" x14ac:dyDescent="0.2">
      <c r="A112" s="145">
        <v>20</v>
      </c>
      <c r="B112" s="147" t="s">
        <v>102</v>
      </c>
      <c r="C112" s="251">
        <v>134</v>
      </c>
      <c r="D112" s="137">
        <f>'الصادر بعد الجرد'!Y112</f>
        <v>0</v>
      </c>
      <c r="E112" s="137">
        <f>'الوارد بعد الجرد'!AC112</f>
        <v>0</v>
      </c>
      <c r="F112" s="62">
        <f t="shared" si="10"/>
        <v>134</v>
      </c>
      <c r="G112" s="135">
        <v>10</v>
      </c>
      <c r="H112" s="153">
        <f t="shared" si="11"/>
        <v>1340</v>
      </c>
      <c r="I112" s="65"/>
      <c r="J112" s="65"/>
      <c r="K112" s="65"/>
      <c r="L112" s="65"/>
    </row>
    <row r="113" spans="1:12" ht="26" x14ac:dyDescent="0.2">
      <c r="A113" s="145">
        <v>21</v>
      </c>
      <c r="B113" s="147" t="s">
        <v>103</v>
      </c>
      <c r="C113" s="251">
        <v>39</v>
      </c>
      <c r="D113" s="137">
        <f>'الصادر بعد الجرد'!Y113</f>
        <v>0</v>
      </c>
      <c r="E113" s="137">
        <f>'الوارد بعد الجرد'!AC113</f>
        <v>0</v>
      </c>
      <c r="F113" s="62">
        <f t="shared" si="10"/>
        <v>39</v>
      </c>
      <c r="G113" s="135">
        <v>10</v>
      </c>
      <c r="H113" s="153">
        <f t="shared" si="11"/>
        <v>390</v>
      </c>
      <c r="I113" s="65"/>
      <c r="J113" s="65"/>
      <c r="K113" s="65"/>
      <c r="L113" s="65"/>
    </row>
    <row r="114" spans="1:12" ht="26" x14ac:dyDescent="0.2">
      <c r="A114" s="145">
        <v>22</v>
      </c>
      <c r="B114" s="147" t="s">
        <v>104</v>
      </c>
      <c r="C114" s="251">
        <v>14</v>
      </c>
      <c r="D114" s="137">
        <f>'الصادر بعد الجرد'!Y114</f>
        <v>0</v>
      </c>
      <c r="E114" s="137">
        <f>'الوارد بعد الجرد'!AC114</f>
        <v>0</v>
      </c>
      <c r="F114" s="62">
        <f t="shared" si="10"/>
        <v>14</v>
      </c>
      <c r="G114" s="135">
        <v>10</v>
      </c>
      <c r="H114" s="153">
        <f t="shared" si="11"/>
        <v>140</v>
      </c>
      <c r="I114" s="65"/>
      <c r="J114" s="65"/>
      <c r="K114" s="65"/>
      <c r="L114" s="65"/>
    </row>
    <row r="115" spans="1:12" ht="26" x14ac:dyDescent="0.2">
      <c r="A115" s="145">
        <v>23</v>
      </c>
      <c r="B115" s="147" t="s">
        <v>105</v>
      </c>
      <c r="C115" s="251">
        <v>47</v>
      </c>
      <c r="D115" s="137">
        <f>'الصادر بعد الجرد'!Y115</f>
        <v>0</v>
      </c>
      <c r="E115" s="137">
        <f>'الوارد بعد الجرد'!AC115</f>
        <v>0</v>
      </c>
      <c r="F115" s="62">
        <f t="shared" si="10"/>
        <v>47</v>
      </c>
      <c r="G115" s="135">
        <v>10</v>
      </c>
      <c r="H115" s="153">
        <f t="shared" si="11"/>
        <v>470</v>
      </c>
      <c r="I115" s="65"/>
      <c r="J115" s="65"/>
      <c r="K115" s="65"/>
      <c r="L115" s="65"/>
    </row>
    <row r="116" spans="1:12" ht="26" x14ac:dyDescent="0.2">
      <c r="A116" s="145">
        <v>24</v>
      </c>
      <c r="B116" s="147" t="s">
        <v>106</v>
      </c>
      <c r="C116" s="251">
        <v>68</v>
      </c>
      <c r="D116" s="137">
        <f>'الصادر بعد الجرد'!Y116</f>
        <v>0</v>
      </c>
      <c r="E116" s="137">
        <f>'الوارد بعد الجرد'!AC116</f>
        <v>0</v>
      </c>
      <c r="F116" s="62">
        <f t="shared" si="10"/>
        <v>68</v>
      </c>
      <c r="G116" s="135">
        <v>10</v>
      </c>
      <c r="H116" s="153">
        <f t="shared" si="11"/>
        <v>680</v>
      </c>
      <c r="I116" s="65"/>
      <c r="J116" s="65"/>
      <c r="K116" s="65"/>
      <c r="L116" s="65"/>
    </row>
    <row r="117" spans="1:12" ht="26" x14ac:dyDescent="0.2">
      <c r="A117" s="145">
        <v>25</v>
      </c>
      <c r="B117" s="147" t="s">
        <v>107</v>
      </c>
      <c r="C117" s="251">
        <v>19</v>
      </c>
      <c r="D117" s="137">
        <f>'الصادر بعد الجرد'!Y117</f>
        <v>0</v>
      </c>
      <c r="E117" s="137">
        <f>'الوارد بعد الجرد'!AC117</f>
        <v>0</v>
      </c>
      <c r="F117" s="62">
        <f t="shared" si="10"/>
        <v>19</v>
      </c>
      <c r="G117" s="135">
        <v>10</v>
      </c>
      <c r="H117" s="153">
        <f t="shared" si="11"/>
        <v>190</v>
      </c>
      <c r="I117" s="65"/>
      <c r="J117" s="65"/>
      <c r="K117" s="65"/>
      <c r="L117" s="65"/>
    </row>
    <row r="118" spans="1:12" ht="26" x14ac:dyDescent="0.2">
      <c r="A118" s="145">
        <v>26</v>
      </c>
      <c r="B118" s="147" t="s">
        <v>108</v>
      </c>
      <c r="C118" s="251">
        <v>11</v>
      </c>
      <c r="D118" s="137">
        <f>'الصادر بعد الجرد'!Y118</f>
        <v>0</v>
      </c>
      <c r="E118" s="137">
        <f>'الوارد بعد الجرد'!AC118</f>
        <v>0</v>
      </c>
      <c r="F118" s="62">
        <f t="shared" si="10"/>
        <v>11</v>
      </c>
      <c r="G118" s="135">
        <v>10</v>
      </c>
      <c r="H118" s="153">
        <f t="shared" si="11"/>
        <v>110</v>
      </c>
      <c r="I118" s="65"/>
      <c r="J118" s="65"/>
      <c r="K118" s="65"/>
      <c r="L118" s="65"/>
    </row>
    <row r="119" spans="1:12" ht="26" x14ac:dyDescent="0.2">
      <c r="A119" s="145">
        <v>27</v>
      </c>
      <c r="B119" s="147" t="s">
        <v>69</v>
      </c>
      <c r="C119" s="251"/>
      <c r="D119" s="137">
        <f>'الصادر بعد الجرد'!Y119</f>
        <v>0</v>
      </c>
      <c r="E119" s="137">
        <f>'الوارد بعد الجرد'!AC119</f>
        <v>0</v>
      </c>
      <c r="F119" s="62">
        <f t="shared" si="10"/>
        <v>0</v>
      </c>
      <c r="G119" s="135">
        <v>10</v>
      </c>
      <c r="H119" s="153">
        <f t="shared" si="11"/>
        <v>0</v>
      </c>
      <c r="I119" s="65"/>
      <c r="J119" s="65"/>
      <c r="K119" s="65"/>
      <c r="L119" s="65"/>
    </row>
    <row r="120" spans="1:12" ht="26" x14ac:dyDescent="0.2">
      <c r="A120" s="145">
        <v>28</v>
      </c>
      <c r="B120" s="147" t="s">
        <v>109</v>
      </c>
      <c r="C120" s="251">
        <v>42</v>
      </c>
      <c r="D120" s="137">
        <f>'الصادر بعد الجرد'!Y120</f>
        <v>0</v>
      </c>
      <c r="E120" s="137">
        <f>'الوارد بعد الجرد'!AC120</f>
        <v>0</v>
      </c>
      <c r="F120" s="62">
        <f t="shared" si="10"/>
        <v>42</v>
      </c>
      <c r="G120" s="135">
        <v>10</v>
      </c>
      <c r="H120" s="153">
        <f t="shared" si="11"/>
        <v>420</v>
      </c>
      <c r="I120" s="65"/>
      <c r="J120" s="65"/>
      <c r="K120" s="65"/>
      <c r="L120" s="65"/>
    </row>
    <row r="121" spans="1:12" ht="26" x14ac:dyDescent="0.2">
      <c r="A121" s="145">
        <v>29</v>
      </c>
      <c r="B121" s="147" t="s">
        <v>110</v>
      </c>
      <c r="C121" s="251">
        <v>4</v>
      </c>
      <c r="D121" s="137">
        <f>'الصادر بعد الجرد'!Y121</f>
        <v>0</v>
      </c>
      <c r="E121" s="137">
        <f>'الوارد بعد الجرد'!AC121</f>
        <v>0</v>
      </c>
      <c r="F121" s="62">
        <f t="shared" si="10"/>
        <v>4</v>
      </c>
      <c r="G121" s="135">
        <v>10</v>
      </c>
      <c r="H121" s="153">
        <f t="shared" si="11"/>
        <v>40</v>
      </c>
      <c r="I121" s="65"/>
      <c r="J121" s="65"/>
      <c r="K121" s="65"/>
      <c r="L121" s="65"/>
    </row>
    <row r="122" spans="1:12" ht="26" x14ac:dyDescent="0.2">
      <c r="A122" s="145">
        <v>30</v>
      </c>
      <c r="B122" s="147" t="s">
        <v>111</v>
      </c>
      <c r="C122" s="251">
        <v>11</v>
      </c>
      <c r="D122" s="137">
        <f>'الصادر بعد الجرد'!Y122</f>
        <v>0</v>
      </c>
      <c r="E122" s="137">
        <f>'الوارد بعد الجرد'!AC122</f>
        <v>0</v>
      </c>
      <c r="F122" s="62">
        <f t="shared" si="10"/>
        <v>11</v>
      </c>
      <c r="G122" s="135">
        <v>40</v>
      </c>
      <c r="H122" s="153">
        <f t="shared" si="11"/>
        <v>440</v>
      </c>
      <c r="I122" s="65"/>
      <c r="J122" s="65"/>
      <c r="K122" s="65"/>
      <c r="L122" s="65"/>
    </row>
    <row r="123" spans="1:12" ht="26" x14ac:dyDescent="0.25">
      <c r="A123" s="145">
        <v>31</v>
      </c>
      <c r="B123" s="72" t="s">
        <v>112</v>
      </c>
      <c r="C123" s="251">
        <v>8</v>
      </c>
      <c r="D123" s="137">
        <f>'الصادر بعد الجرد'!Y123</f>
        <v>0</v>
      </c>
      <c r="E123" s="137">
        <f>'الوارد بعد الجرد'!AC123</f>
        <v>0</v>
      </c>
      <c r="F123" s="62">
        <f t="shared" si="10"/>
        <v>8</v>
      </c>
      <c r="G123" s="135">
        <v>90</v>
      </c>
      <c r="H123" s="153">
        <f t="shared" si="11"/>
        <v>720</v>
      </c>
      <c r="I123" s="65"/>
      <c r="J123" s="65"/>
      <c r="K123" s="65"/>
      <c r="L123" s="65"/>
    </row>
    <row r="124" spans="1:12" ht="26" x14ac:dyDescent="0.2">
      <c r="A124" s="145">
        <v>32</v>
      </c>
      <c r="B124" s="147" t="s">
        <v>113</v>
      </c>
      <c r="C124" s="251">
        <v>33</v>
      </c>
      <c r="D124" s="137">
        <f>'الصادر بعد الجرد'!Y124</f>
        <v>0</v>
      </c>
      <c r="E124" s="137">
        <f>'الوارد بعد الجرد'!AC124</f>
        <v>0</v>
      </c>
      <c r="F124" s="62">
        <f t="shared" si="10"/>
        <v>33</v>
      </c>
      <c r="G124" s="135">
        <v>10</v>
      </c>
      <c r="H124" s="153">
        <f t="shared" si="11"/>
        <v>330</v>
      </c>
      <c r="I124" s="65"/>
      <c r="J124" s="65"/>
      <c r="K124" s="65"/>
      <c r="L124" s="65"/>
    </row>
    <row r="125" spans="1:12" ht="26" x14ac:dyDescent="0.2">
      <c r="A125" s="145">
        <v>33</v>
      </c>
      <c r="B125" s="147" t="s">
        <v>114</v>
      </c>
      <c r="C125" s="251">
        <v>45</v>
      </c>
      <c r="D125" s="137">
        <f>'الصادر بعد الجرد'!Y125</f>
        <v>0</v>
      </c>
      <c r="E125" s="137">
        <f>'الوارد بعد الجرد'!AC125</f>
        <v>0</v>
      </c>
      <c r="F125" s="62">
        <f t="shared" si="10"/>
        <v>45</v>
      </c>
      <c r="G125" s="135">
        <v>10</v>
      </c>
      <c r="H125" s="153">
        <f t="shared" si="11"/>
        <v>450</v>
      </c>
      <c r="I125" s="65"/>
      <c r="J125" s="65"/>
      <c r="K125" s="65"/>
      <c r="L125" s="65"/>
    </row>
    <row r="126" spans="1:12" ht="26" x14ac:dyDescent="0.2">
      <c r="A126" s="145">
        <v>34</v>
      </c>
      <c r="B126" s="147" t="s">
        <v>115</v>
      </c>
      <c r="C126" s="251"/>
      <c r="D126" s="137">
        <f>'الصادر بعد الجرد'!Y126</f>
        <v>0</v>
      </c>
      <c r="E126" s="137">
        <f>'الوارد بعد الجرد'!AC126</f>
        <v>0</v>
      </c>
      <c r="F126" s="62">
        <f t="shared" si="10"/>
        <v>0</v>
      </c>
      <c r="G126" s="135">
        <v>10</v>
      </c>
      <c r="H126" s="153">
        <f t="shared" si="11"/>
        <v>0</v>
      </c>
      <c r="I126" s="65"/>
      <c r="J126" s="65"/>
      <c r="K126" s="65"/>
      <c r="L126" s="65"/>
    </row>
    <row r="127" spans="1:12" ht="26" x14ac:dyDescent="0.2">
      <c r="A127" s="145">
        <v>35</v>
      </c>
      <c r="B127" s="147" t="s">
        <v>116</v>
      </c>
      <c r="C127" s="251">
        <v>21</v>
      </c>
      <c r="D127" s="137">
        <f>'الصادر بعد الجرد'!Y127</f>
        <v>0</v>
      </c>
      <c r="E127" s="137">
        <f>'الوارد بعد الجرد'!AC127</f>
        <v>0</v>
      </c>
      <c r="F127" s="62">
        <f t="shared" si="10"/>
        <v>21</v>
      </c>
      <c r="G127" s="135">
        <v>30</v>
      </c>
      <c r="H127" s="153">
        <f t="shared" si="11"/>
        <v>630</v>
      </c>
      <c r="I127" s="65"/>
      <c r="J127" s="65"/>
      <c r="K127" s="65"/>
      <c r="L127" s="65"/>
    </row>
    <row r="128" spans="1:12" ht="26" x14ac:dyDescent="0.2">
      <c r="A128" s="145">
        <v>36</v>
      </c>
      <c r="B128" s="147" t="s">
        <v>117</v>
      </c>
      <c r="C128" s="251">
        <v>15</v>
      </c>
      <c r="D128" s="137">
        <f>'الصادر بعد الجرد'!Y128</f>
        <v>0</v>
      </c>
      <c r="E128" s="137">
        <f>'الوارد بعد الجرد'!AC128</f>
        <v>0</v>
      </c>
      <c r="F128" s="62">
        <f t="shared" si="10"/>
        <v>15</v>
      </c>
      <c r="G128" s="135">
        <v>10</v>
      </c>
      <c r="H128" s="153">
        <f t="shared" si="11"/>
        <v>150</v>
      </c>
      <c r="I128" s="65"/>
      <c r="J128" s="65"/>
      <c r="K128" s="65"/>
      <c r="L128" s="65"/>
    </row>
    <row r="129" spans="1:13" ht="26" x14ac:dyDescent="0.2">
      <c r="A129" s="145">
        <v>37</v>
      </c>
      <c r="B129" s="147" t="s">
        <v>118</v>
      </c>
      <c r="C129" s="251"/>
      <c r="D129" s="137">
        <f>'الصادر بعد الجرد'!Y129</f>
        <v>0</v>
      </c>
      <c r="E129" s="137">
        <f>'الوارد بعد الجرد'!AC129</f>
        <v>0</v>
      </c>
      <c r="F129" s="62">
        <f t="shared" si="10"/>
        <v>0</v>
      </c>
      <c r="G129" s="135">
        <v>30</v>
      </c>
      <c r="H129" s="153">
        <f t="shared" si="11"/>
        <v>0</v>
      </c>
      <c r="I129" s="65"/>
      <c r="J129" s="65"/>
      <c r="K129" s="65"/>
      <c r="L129" s="65"/>
    </row>
    <row r="130" spans="1:13" ht="26" x14ac:dyDescent="0.2">
      <c r="A130" s="134">
        <v>38</v>
      </c>
      <c r="B130" s="149" t="s">
        <v>119</v>
      </c>
      <c r="C130" s="251">
        <v>30</v>
      </c>
      <c r="D130" s="137">
        <f>'الصادر بعد الجرد'!Y130</f>
        <v>0</v>
      </c>
      <c r="E130" s="137">
        <f>'الوارد بعد الجرد'!AC130</f>
        <v>0</v>
      </c>
      <c r="F130" s="62">
        <f t="shared" si="10"/>
        <v>30</v>
      </c>
      <c r="G130" s="135">
        <v>10</v>
      </c>
      <c r="H130" s="153">
        <f t="shared" si="11"/>
        <v>300</v>
      </c>
      <c r="I130" s="65"/>
      <c r="J130" s="65"/>
      <c r="K130" s="65"/>
      <c r="L130" s="65"/>
    </row>
    <row r="131" spans="1:13" ht="26" x14ac:dyDescent="0.2">
      <c r="A131" s="138"/>
      <c r="B131" s="138"/>
      <c r="C131" s="251"/>
      <c r="D131" s="137"/>
      <c r="E131" s="137"/>
      <c r="F131" s="62"/>
      <c r="G131" s="62"/>
      <c r="H131" s="153"/>
      <c r="I131" s="138"/>
      <c r="J131" s="138"/>
      <c r="K131" s="138"/>
      <c r="L131" s="138"/>
    </row>
    <row r="132" spans="1:13" ht="26" x14ac:dyDescent="0.2">
      <c r="A132" s="138"/>
      <c r="B132" s="150" t="s">
        <v>120</v>
      </c>
      <c r="C132" s="251"/>
      <c r="D132" s="137"/>
      <c r="E132" s="137"/>
      <c r="F132" s="62"/>
      <c r="G132" s="62"/>
      <c r="H132" s="153"/>
      <c r="I132" s="138"/>
      <c r="J132" s="138"/>
      <c r="K132" s="138"/>
      <c r="L132" s="138"/>
    </row>
    <row r="133" spans="1:13" ht="26" x14ac:dyDescent="0.25">
      <c r="A133" s="145">
        <v>1</v>
      </c>
      <c r="B133" s="71" t="s">
        <v>121</v>
      </c>
      <c r="C133" s="251">
        <v>0</v>
      </c>
      <c r="D133" s="137">
        <f>'الصادر بعد الجرد'!Y133</f>
        <v>0</v>
      </c>
      <c r="E133" s="137">
        <f>'الوارد بعد الجرد'!AC133</f>
        <v>0</v>
      </c>
      <c r="F133" s="62">
        <f t="shared" si="10"/>
        <v>0</v>
      </c>
      <c r="G133" s="135">
        <v>230</v>
      </c>
      <c r="H133" s="153">
        <f t="shared" si="11"/>
        <v>0</v>
      </c>
      <c r="I133" s="65"/>
      <c r="J133" s="65"/>
      <c r="K133" s="65"/>
      <c r="L133" s="65"/>
    </row>
    <row r="134" spans="1:13" ht="26" x14ac:dyDescent="0.25">
      <c r="A134" s="145">
        <v>2</v>
      </c>
      <c r="B134" s="71" t="s">
        <v>123</v>
      </c>
      <c r="C134" s="251">
        <v>7</v>
      </c>
      <c r="D134" s="137">
        <f>'الصادر بعد الجرد'!Y134</f>
        <v>0</v>
      </c>
      <c r="E134" s="137">
        <f>'الوارد بعد الجرد'!AC134</f>
        <v>0</v>
      </c>
      <c r="F134" s="62">
        <f t="shared" si="10"/>
        <v>7</v>
      </c>
      <c r="G134" s="135">
        <v>230</v>
      </c>
      <c r="H134" s="153">
        <f t="shared" si="11"/>
        <v>1610</v>
      </c>
      <c r="I134" s="65"/>
      <c r="J134" s="65"/>
      <c r="K134" s="65"/>
      <c r="L134" s="65"/>
    </row>
    <row r="135" spans="1:13" ht="26" x14ac:dyDescent="0.2">
      <c r="A135" s="138"/>
      <c r="B135" s="138"/>
      <c r="C135" s="251"/>
      <c r="D135" s="137"/>
      <c r="E135" s="137"/>
      <c r="F135" s="62"/>
      <c r="G135" s="62"/>
      <c r="H135" s="153"/>
      <c r="I135" s="138"/>
      <c r="J135" s="138"/>
      <c r="K135" s="138"/>
      <c r="L135" s="138"/>
      <c r="M135"/>
    </row>
    <row r="136" spans="1:13" ht="29" x14ac:dyDescent="0.35">
      <c r="A136" s="138"/>
      <c r="B136" s="66" t="s">
        <v>124</v>
      </c>
      <c r="C136" s="251"/>
      <c r="D136" s="137"/>
      <c r="E136" s="137"/>
      <c r="F136" s="62"/>
      <c r="G136" s="62"/>
      <c r="H136" s="153"/>
      <c r="I136" s="138"/>
      <c r="J136" s="138"/>
      <c r="K136" s="138"/>
      <c r="L136" s="138"/>
      <c r="M136"/>
    </row>
    <row r="137" spans="1:13" ht="26" x14ac:dyDescent="0.25">
      <c r="A137" s="151">
        <v>1</v>
      </c>
      <c r="B137" s="152" t="s">
        <v>125</v>
      </c>
      <c r="C137" s="251">
        <v>10</v>
      </c>
      <c r="D137" s="137">
        <f>'الصادر بعد الجرد'!Y137</f>
        <v>0</v>
      </c>
      <c r="E137" s="137">
        <f>'الوارد بعد الجرد'!AC137</f>
        <v>0</v>
      </c>
      <c r="F137" s="62">
        <f t="shared" si="10"/>
        <v>10</v>
      </c>
      <c r="G137" s="135">
        <v>215</v>
      </c>
      <c r="H137" s="153">
        <f t="shared" si="11"/>
        <v>2150</v>
      </c>
      <c r="I137" s="65"/>
      <c r="J137" s="65"/>
      <c r="K137" s="65"/>
      <c r="L137" s="65"/>
    </row>
    <row r="138" spans="1:13" ht="26" x14ac:dyDescent="0.25">
      <c r="A138" s="151">
        <v>2</v>
      </c>
      <c r="B138" s="152" t="s">
        <v>126</v>
      </c>
      <c r="C138" s="251">
        <v>21</v>
      </c>
      <c r="D138" s="137">
        <f>'الصادر بعد الجرد'!Y138</f>
        <v>0</v>
      </c>
      <c r="E138" s="137">
        <f>'الوارد بعد الجرد'!AC138</f>
        <v>0</v>
      </c>
      <c r="F138" s="62">
        <f t="shared" si="10"/>
        <v>21</v>
      </c>
      <c r="G138" s="135">
        <v>215</v>
      </c>
      <c r="H138" s="153">
        <f t="shared" si="11"/>
        <v>4515</v>
      </c>
      <c r="I138" s="65"/>
      <c r="J138" s="65"/>
      <c r="K138" s="65"/>
      <c r="L138" s="65"/>
    </row>
    <row r="139" spans="1:13" ht="26" x14ac:dyDescent="0.25">
      <c r="A139" s="151">
        <v>3</v>
      </c>
      <c r="B139" s="152" t="s">
        <v>127</v>
      </c>
      <c r="C139" s="251">
        <v>8</v>
      </c>
      <c r="D139" s="137">
        <f>'الصادر بعد الجرد'!Y139</f>
        <v>1</v>
      </c>
      <c r="E139" s="137">
        <f>'الوارد بعد الجرد'!AC139</f>
        <v>0</v>
      </c>
      <c r="F139" s="62">
        <f t="shared" si="10"/>
        <v>7</v>
      </c>
      <c r="G139" s="135">
        <v>215</v>
      </c>
      <c r="H139" s="153">
        <f t="shared" si="11"/>
        <v>1505</v>
      </c>
      <c r="I139" s="65"/>
      <c r="J139" s="65"/>
      <c r="K139" s="65"/>
      <c r="L139" s="65"/>
    </row>
    <row r="140" spans="1:13" ht="26" x14ac:dyDescent="0.25">
      <c r="A140" s="151">
        <v>4</v>
      </c>
      <c r="B140" s="152" t="s">
        <v>128</v>
      </c>
      <c r="C140" s="251">
        <v>18</v>
      </c>
      <c r="D140" s="137">
        <f>'الصادر بعد الجرد'!Y140</f>
        <v>1</v>
      </c>
      <c r="E140" s="137">
        <f>'الوارد بعد الجرد'!AC140</f>
        <v>0</v>
      </c>
      <c r="F140" s="62">
        <f t="shared" si="10"/>
        <v>17</v>
      </c>
      <c r="G140" s="135">
        <v>215</v>
      </c>
      <c r="H140" s="153">
        <f t="shared" si="11"/>
        <v>3655</v>
      </c>
      <c r="I140" s="65"/>
      <c r="J140" s="65"/>
      <c r="K140" s="65"/>
      <c r="L140" s="65"/>
    </row>
    <row r="141" spans="1:13" ht="26" x14ac:dyDescent="0.25">
      <c r="A141" s="151">
        <v>5</v>
      </c>
      <c r="B141" s="152" t="s">
        <v>129</v>
      </c>
      <c r="C141" s="251">
        <v>6</v>
      </c>
      <c r="D141" s="137">
        <f>'الصادر بعد الجرد'!Y141</f>
        <v>1</v>
      </c>
      <c r="E141" s="137">
        <f>'الوارد بعد الجرد'!AC141</f>
        <v>0</v>
      </c>
      <c r="F141" s="62">
        <f t="shared" si="10"/>
        <v>5</v>
      </c>
      <c r="G141" s="135">
        <v>215</v>
      </c>
      <c r="H141" s="153">
        <f t="shared" si="11"/>
        <v>1075</v>
      </c>
      <c r="I141" s="65"/>
      <c r="J141" s="65"/>
      <c r="K141" s="65"/>
      <c r="L141" s="65"/>
    </row>
    <row r="142" spans="1:13" ht="26" x14ac:dyDescent="0.25">
      <c r="A142" s="151">
        <v>6</v>
      </c>
      <c r="B142" s="152" t="s">
        <v>130</v>
      </c>
      <c r="C142" s="251">
        <v>14</v>
      </c>
      <c r="D142" s="137">
        <f>'الصادر بعد الجرد'!Y142</f>
        <v>0</v>
      </c>
      <c r="E142" s="137">
        <f>'الوارد بعد الجرد'!AC142</f>
        <v>0</v>
      </c>
      <c r="F142" s="62">
        <f t="shared" si="10"/>
        <v>14</v>
      </c>
      <c r="G142" s="135">
        <v>215</v>
      </c>
      <c r="H142" s="153">
        <f t="shared" si="11"/>
        <v>3010</v>
      </c>
      <c r="I142" s="65"/>
      <c r="J142" s="65"/>
      <c r="K142" s="65"/>
      <c r="L142" s="65"/>
    </row>
    <row r="143" spans="1:13" ht="26" x14ac:dyDescent="0.25">
      <c r="A143" s="151">
        <v>7</v>
      </c>
      <c r="B143" s="152" t="s">
        <v>131</v>
      </c>
      <c r="C143" s="251">
        <v>36</v>
      </c>
      <c r="D143" s="137">
        <f>'الصادر بعد الجرد'!Y143</f>
        <v>0</v>
      </c>
      <c r="E143" s="137">
        <f>'الوارد بعد الجرد'!AC143</f>
        <v>0</v>
      </c>
      <c r="F143" s="62">
        <f t="shared" ref="F143:F206" si="12">C143-D143+E143</f>
        <v>36</v>
      </c>
      <c r="G143" s="135">
        <v>215</v>
      </c>
      <c r="H143" s="153">
        <f t="shared" si="11"/>
        <v>7740</v>
      </c>
      <c r="I143" s="65"/>
      <c r="J143" s="65"/>
      <c r="K143" s="65"/>
      <c r="L143" s="65"/>
    </row>
    <row r="144" spans="1:13" ht="26" x14ac:dyDescent="0.25">
      <c r="A144" s="151">
        <v>8</v>
      </c>
      <c r="B144" s="152" t="s">
        <v>132</v>
      </c>
      <c r="C144" s="251">
        <v>51</v>
      </c>
      <c r="D144" s="137">
        <f>'الصادر بعد الجرد'!Y144</f>
        <v>0</v>
      </c>
      <c r="E144" s="137">
        <f>'الوارد بعد الجرد'!AC144</f>
        <v>0</v>
      </c>
      <c r="F144" s="62">
        <f t="shared" si="12"/>
        <v>51</v>
      </c>
      <c r="G144" s="135">
        <v>215</v>
      </c>
      <c r="H144" s="153">
        <f t="shared" ref="H144:H207" si="13">G144*F144</f>
        <v>10965</v>
      </c>
      <c r="I144" s="65"/>
      <c r="J144" s="65"/>
      <c r="K144" s="65"/>
      <c r="L144" s="65"/>
    </row>
    <row r="145" spans="1:12" ht="26" x14ac:dyDescent="0.25">
      <c r="A145" s="151">
        <v>9</v>
      </c>
      <c r="B145" s="152" t="s">
        <v>133</v>
      </c>
      <c r="C145" s="251">
        <v>59</v>
      </c>
      <c r="D145" s="137">
        <f>'الصادر بعد الجرد'!Y145</f>
        <v>1</v>
      </c>
      <c r="E145" s="137">
        <f>'الوارد بعد الجرد'!AC145</f>
        <v>0</v>
      </c>
      <c r="F145" s="62">
        <f t="shared" si="12"/>
        <v>58</v>
      </c>
      <c r="G145" s="135">
        <v>215</v>
      </c>
      <c r="H145" s="153">
        <f t="shared" si="13"/>
        <v>12470</v>
      </c>
      <c r="I145" s="65"/>
      <c r="J145" s="65"/>
      <c r="K145" s="65"/>
      <c r="L145" s="65"/>
    </row>
    <row r="146" spans="1:12" ht="26" x14ac:dyDescent="0.25">
      <c r="A146" s="151">
        <v>10</v>
      </c>
      <c r="B146" s="152" t="s">
        <v>134</v>
      </c>
      <c r="C146" s="251">
        <v>50</v>
      </c>
      <c r="D146" s="137">
        <f>'الصادر بعد الجرد'!Y146</f>
        <v>0</v>
      </c>
      <c r="E146" s="137">
        <f>'الوارد بعد الجرد'!AC146</f>
        <v>0</v>
      </c>
      <c r="F146" s="62">
        <f t="shared" si="12"/>
        <v>50</v>
      </c>
      <c r="G146" s="135">
        <v>215</v>
      </c>
      <c r="H146" s="153">
        <f t="shared" si="13"/>
        <v>10750</v>
      </c>
      <c r="I146" s="65"/>
      <c r="J146" s="65"/>
      <c r="K146" s="65"/>
      <c r="L146" s="65"/>
    </row>
    <row r="147" spans="1:12" ht="26" x14ac:dyDescent="0.25">
      <c r="A147" s="151">
        <v>11</v>
      </c>
      <c r="B147" s="152" t="s">
        <v>135</v>
      </c>
      <c r="C147" s="251">
        <v>12</v>
      </c>
      <c r="D147" s="137">
        <f>'الصادر بعد الجرد'!Y147</f>
        <v>1</v>
      </c>
      <c r="E147" s="137">
        <f>'الوارد بعد الجرد'!AC147</f>
        <v>0</v>
      </c>
      <c r="F147" s="62">
        <f t="shared" si="12"/>
        <v>11</v>
      </c>
      <c r="G147" s="135">
        <v>215</v>
      </c>
      <c r="H147" s="153">
        <f t="shared" si="13"/>
        <v>2365</v>
      </c>
      <c r="I147" s="65"/>
      <c r="J147" s="65"/>
      <c r="K147" s="65"/>
      <c r="L147" s="65"/>
    </row>
    <row r="148" spans="1:12" ht="26" x14ac:dyDescent="0.25">
      <c r="A148" s="151">
        <v>12</v>
      </c>
      <c r="B148" s="152" t="s">
        <v>136</v>
      </c>
      <c r="C148" s="251">
        <v>10</v>
      </c>
      <c r="D148" s="137">
        <f>'الصادر بعد الجرد'!Y148</f>
        <v>0</v>
      </c>
      <c r="E148" s="137">
        <f>'الوارد بعد الجرد'!AC148</f>
        <v>0</v>
      </c>
      <c r="F148" s="62">
        <f t="shared" si="12"/>
        <v>10</v>
      </c>
      <c r="G148" s="135">
        <v>215</v>
      </c>
      <c r="H148" s="153">
        <f t="shared" si="13"/>
        <v>2150</v>
      </c>
      <c r="I148" s="65"/>
      <c r="J148" s="65"/>
      <c r="K148" s="65"/>
      <c r="L148" s="65"/>
    </row>
    <row r="149" spans="1:12" ht="26" x14ac:dyDescent="0.25">
      <c r="A149" s="151">
        <v>13</v>
      </c>
      <c r="B149" s="152" t="s">
        <v>137</v>
      </c>
      <c r="C149" s="251">
        <v>14</v>
      </c>
      <c r="D149" s="137">
        <f>'الصادر بعد الجرد'!Y149</f>
        <v>0</v>
      </c>
      <c r="E149" s="137">
        <f>'الوارد بعد الجرد'!AC149</f>
        <v>0</v>
      </c>
      <c r="F149" s="62">
        <f t="shared" si="12"/>
        <v>14</v>
      </c>
      <c r="G149" s="135">
        <v>215</v>
      </c>
      <c r="H149" s="153">
        <f t="shared" si="13"/>
        <v>3010</v>
      </c>
      <c r="I149" s="65"/>
      <c r="J149" s="65"/>
      <c r="K149" s="65"/>
      <c r="L149" s="65"/>
    </row>
    <row r="150" spans="1:12" ht="26" x14ac:dyDescent="0.25">
      <c r="A150" s="151">
        <v>14</v>
      </c>
      <c r="B150" s="152" t="s">
        <v>138</v>
      </c>
      <c r="C150" s="251">
        <v>12</v>
      </c>
      <c r="D150" s="137">
        <f>'الصادر بعد الجرد'!Y150</f>
        <v>0</v>
      </c>
      <c r="E150" s="137">
        <f>'الوارد بعد الجرد'!AC150</f>
        <v>0</v>
      </c>
      <c r="F150" s="62">
        <f t="shared" si="12"/>
        <v>12</v>
      </c>
      <c r="G150" s="135">
        <v>215</v>
      </c>
      <c r="H150" s="153">
        <f t="shared" si="13"/>
        <v>2580</v>
      </c>
      <c r="I150" s="65"/>
      <c r="J150" s="65"/>
      <c r="K150" s="65"/>
      <c r="L150" s="65"/>
    </row>
    <row r="151" spans="1:12" ht="26" x14ac:dyDescent="0.25">
      <c r="A151" s="151">
        <v>15</v>
      </c>
      <c r="B151" s="152" t="s">
        <v>139</v>
      </c>
      <c r="C151" s="251">
        <v>16</v>
      </c>
      <c r="D151" s="137">
        <f>'الصادر بعد الجرد'!Y151</f>
        <v>0</v>
      </c>
      <c r="E151" s="137">
        <f>'الوارد بعد الجرد'!AC151</f>
        <v>0</v>
      </c>
      <c r="F151" s="62">
        <f t="shared" si="12"/>
        <v>16</v>
      </c>
      <c r="G151" s="135">
        <v>215</v>
      </c>
      <c r="H151" s="153">
        <f t="shared" si="13"/>
        <v>3440</v>
      </c>
      <c r="I151" s="65"/>
      <c r="J151" s="65"/>
      <c r="K151" s="65"/>
      <c r="L151" s="65"/>
    </row>
    <row r="152" spans="1:12" ht="26" x14ac:dyDescent="0.25">
      <c r="A152" s="151">
        <v>16</v>
      </c>
      <c r="B152" s="152" t="s">
        <v>140</v>
      </c>
      <c r="C152" s="251">
        <v>9</v>
      </c>
      <c r="D152" s="137">
        <f>'الصادر بعد الجرد'!Y152</f>
        <v>0</v>
      </c>
      <c r="E152" s="137">
        <f>'الوارد بعد الجرد'!AC152</f>
        <v>0</v>
      </c>
      <c r="F152" s="62">
        <f t="shared" si="12"/>
        <v>9</v>
      </c>
      <c r="G152" s="135">
        <v>215</v>
      </c>
      <c r="H152" s="153">
        <f t="shared" si="13"/>
        <v>1935</v>
      </c>
      <c r="I152" s="65"/>
      <c r="J152" s="65"/>
      <c r="K152" s="65"/>
      <c r="L152" s="65"/>
    </row>
    <row r="153" spans="1:12" ht="26" x14ac:dyDescent="0.25">
      <c r="A153" s="151">
        <v>17</v>
      </c>
      <c r="B153" s="152" t="s">
        <v>141</v>
      </c>
      <c r="C153" s="251">
        <v>8</v>
      </c>
      <c r="D153" s="137">
        <f>'الصادر بعد الجرد'!Y153</f>
        <v>0</v>
      </c>
      <c r="E153" s="137">
        <f>'الوارد بعد الجرد'!AC153</f>
        <v>0</v>
      </c>
      <c r="F153" s="62">
        <f t="shared" si="12"/>
        <v>8</v>
      </c>
      <c r="G153" s="135">
        <v>215</v>
      </c>
      <c r="H153" s="153">
        <f t="shared" si="13"/>
        <v>1720</v>
      </c>
      <c r="I153" s="65"/>
      <c r="J153" s="65"/>
      <c r="K153" s="65"/>
      <c r="L153" s="65"/>
    </row>
    <row r="154" spans="1:12" ht="26" x14ac:dyDescent="0.25">
      <c r="A154" s="151">
        <v>18</v>
      </c>
      <c r="B154" s="152" t="s">
        <v>142</v>
      </c>
      <c r="C154" s="251">
        <v>3</v>
      </c>
      <c r="D154" s="137">
        <f>'الصادر بعد الجرد'!Y154</f>
        <v>0</v>
      </c>
      <c r="E154" s="137">
        <f>'الوارد بعد الجرد'!AC154</f>
        <v>0</v>
      </c>
      <c r="F154" s="62">
        <f t="shared" si="12"/>
        <v>3</v>
      </c>
      <c r="G154" s="135">
        <v>215</v>
      </c>
      <c r="H154" s="153">
        <f t="shared" si="13"/>
        <v>645</v>
      </c>
      <c r="I154" s="65"/>
      <c r="J154" s="65"/>
      <c r="K154" s="65"/>
      <c r="L154" s="65"/>
    </row>
    <row r="155" spans="1:12" ht="26" x14ac:dyDescent="0.25">
      <c r="A155" s="151">
        <v>19</v>
      </c>
      <c r="B155" s="152" t="s">
        <v>143</v>
      </c>
      <c r="C155" s="251">
        <v>6</v>
      </c>
      <c r="D155" s="137">
        <f>'الصادر بعد الجرد'!Y155</f>
        <v>0</v>
      </c>
      <c r="E155" s="137">
        <f>'الوارد بعد الجرد'!AC155</f>
        <v>0</v>
      </c>
      <c r="F155" s="62">
        <f t="shared" si="12"/>
        <v>6</v>
      </c>
      <c r="G155" s="135">
        <v>215</v>
      </c>
      <c r="H155" s="153">
        <f t="shared" si="13"/>
        <v>1290</v>
      </c>
      <c r="I155" s="65"/>
      <c r="J155" s="65"/>
      <c r="K155" s="65"/>
      <c r="L155" s="65"/>
    </row>
    <row r="156" spans="1:12" ht="26" x14ac:dyDescent="0.25">
      <c r="A156" s="151">
        <v>20</v>
      </c>
      <c r="B156" s="152" t="s">
        <v>144</v>
      </c>
      <c r="C156" s="251">
        <v>4</v>
      </c>
      <c r="D156" s="137">
        <f>'الصادر بعد الجرد'!Y156</f>
        <v>0</v>
      </c>
      <c r="E156" s="137">
        <f>'الوارد بعد الجرد'!AC156</f>
        <v>0</v>
      </c>
      <c r="F156" s="62">
        <f t="shared" si="12"/>
        <v>4</v>
      </c>
      <c r="G156" s="135">
        <v>215</v>
      </c>
      <c r="H156" s="153">
        <f t="shared" si="13"/>
        <v>860</v>
      </c>
      <c r="I156" s="65"/>
      <c r="J156" s="65"/>
      <c r="K156" s="65"/>
      <c r="L156" s="65"/>
    </row>
    <row r="157" spans="1:12" ht="26" x14ac:dyDescent="0.25">
      <c r="A157" s="151">
        <v>21</v>
      </c>
      <c r="B157" s="152" t="s">
        <v>145</v>
      </c>
      <c r="C157" s="251">
        <v>5</v>
      </c>
      <c r="D157" s="137">
        <f>'الصادر بعد الجرد'!Y157</f>
        <v>0</v>
      </c>
      <c r="E157" s="137">
        <f>'الوارد بعد الجرد'!AC157</f>
        <v>0</v>
      </c>
      <c r="F157" s="62">
        <f t="shared" si="12"/>
        <v>5</v>
      </c>
      <c r="G157" s="135">
        <v>215</v>
      </c>
      <c r="H157" s="153">
        <f t="shared" si="13"/>
        <v>1075</v>
      </c>
      <c r="I157" s="65"/>
      <c r="J157" s="65"/>
      <c r="K157" s="65"/>
      <c r="L157" s="65"/>
    </row>
    <row r="158" spans="1:12" ht="26" x14ac:dyDescent="0.25">
      <c r="A158" s="151">
        <v>22</v>
      </c>
      <c r="B158" s="152" t="s">
        <v>146</v>
      </c>
      <c r="C158" s="251">
        <v>0</v>
      </c>
      <c r="D158" s="137">
        <f>'الصادر بعد الجرد'!Y158</f>
        <v>0</v>
      </c>
      <c r="E158" s="137">
        <f>'الوارد بعد الجرد'!AC158</f>
        <v>0</v>
      </c>
      <c r="F158" s="62">
        <f t="shared" si="12"/>
        <v>0</v>
      </c>
      <c r="G158" s="135">
        <v>215</v>
      </c>
      <c r="H158" s="153">
        <f t="shared" si="13"/>
        <v>0</v>
      </c>
      <c r="I158" s="65"/>
      <c r="J158" s="65"/>
      <c r="K158" s="65"/>
      <c r="L158" s="65"/>
    </row>
    <row r="159" spans="1:12" ht="26" x14ac:dyDescent="0.25">
      <c r="A159" s="151">
        <v>23</v>
      </c>
      <c r="B159" s="152" t="s">
        <v>147</v>
      </c>
      <c r="C159" s="251">
        <v>4</v>
      </c>
      <c r="D159" s="137">
        <f>'الصادر بعد الجرد'!Y159</f>
        <v>0</v>
      </c>
      <c r="E159" s="137">
        <f>'الوارد بعد الجرد'!AC159</f>
        <v>0</v>
      </c>
      <c r="F159" s="62">
        <f t="shared" si="12"/>
        <v>4</v>
      </c>
      <c r="G159" s="135">
        <v>215</v>
      </c>
      <c r="H159" s="153">
        <f t="shared" si="13"/>
        <v>860</v>
      </c>
      <c r="I159" s="65"/>
      <c r="J159" s="65"/>
      <c r="K159" s="65"/>
      <c r="L159" s="65"/>
    </row>
    <row r="160" spans="1:12" ht="26" x14ac:dyDescent="0.25">
      <c r="A160" s="151">
        <v>24</v>
      </c>
      <c r="B160" s="152" t="s">
        <v>148</v>
      </c>
      <c r="C160" s="251">
        <v>0</v>
      </c>
      <c r="D160" s="137">
        <f>'الصادر بعد الجرد'!Y160</f>
        <v>0</v>
      </c>
      <c r="E160" s="137">
        <f>'الوارد بعد الجرد'!AC160</f>
        <v>0</v>
      </c>
      <c r="F160" s="62">
        <f t="shared" si="12"/>
        <v>0</v>
      </c>
      <c r="G160" s="135">
        <v>215</v>
      </c>
      <c r="H160" s="153">
        <f t="shared" si="13"/>
        <v>0</v>
      </c>
      <c r="I160" s="65"/>
      <c r="J160" s="65"/>
      <c r="K160" s="65"/>
      <c r="L160" s="65"/>
    </row>
    <row r="161" spans="1:12" ht="26" x14ac:dyDescent="0.25">
      <c r="A161" s="151">
        <v>25</v>
      </c>
      <c r="B161" s="152" t="s">
        <v>149</v>
      </c>
      <c r="C161" s="251">
        <v>2</v>
      </c>
      <c r="D161" s="137">
        <f>'الصادر بعد الجرد'!Y161</f>
        <v>0</v>
      </c>
      <c r="E161" s="137">
        <f>'الوارد بعد الجرد'!AC161</f>
        <v>0</v>
      </c>
      <c r="F161" s="62">
        <f t="shared" si="12"/>
        <v>2</v>
      </c>
      <c r="G161" s="135">
        <v>215</v>
      </c>
      <c r="H161" s="153">
        <f t="shared" si="13"/>
        <v>430</v>
      </c>
      <c r="I161" s="65"/>
      <c r="J161" s="65"/>
      <c r="K161" s="65"/>
      <c r="L161" s="65"/>
    </row>
    <row r="162" spans="1:12" ht="26" x14ac:dyDescent="0.25">
      <c r="A162" s="151">
        <v>26</v>
      </c>
      <c r="B162" s="152" t="s">
        <v>150</v>
      </c>
      <c r="C162" s="251">
        <v>1</v>
      </c>
      <c r="D162" s="137">
        <f>'الصادر بعد الجرد'!Y162</f>
        <v>1</v>
      </c>
      <c r="E162" s="137">
        <f>'الوارد بعد الجرد'!AC162</f>
        <v>0</v>
      </c>
      <c r="F162" s="62">
        <f t="shared" si="12"/>
        <v>0</v>
      </c>
      <c r="G162" s="135">
        <v>215</v>
      </c>
      <c r="H162" s="153">
        <f t="shared" si="13"/>
        <v>0</v>
      </c>
      <c r="I162" s="65"/>
      <c r="J162" s="65"/>
      <c r="K162" s="65"/>
      <c r="L162" s="65"/>
    </row>
    <row r="163" spans="1:12" ht="26" x14ac:dyDescent="0.25">
      <c r="A163" s="151">
        <v>27</v>
      </c>
      <c r="B163" s="152" t="s">
        <v>151</v>
      </c>
      <c r="C163" s="251">
        <v>2</v>
      </c>
      <c r="D163" s="137">
        <f>'الصادر بعد الجرد'!Y163</f>
        <v>0</v>
      </c>
      <c r="E163" s="137">
        <f>'الوارد بعد الجرد'!AC163</f>
        <v>0</v>
      </c>
      <c r="F163" s="62">
        <f t="shared" si="12"/>
        <v>2</v>
      </c>
      <c r="G163" s="135">
        <v>215</v>
      </c>
      <c r="H163" s="153">
        <f t="shared" si="13"/>
        <v>430</v>
      </c>
      <c r="I163" s="65"/>
      <c r="J163" s="65"/>
      <c r="K163" s="65"/>
      <c r="L163" s="65"/>
    </row>
    <row r="164" spans="1:12" ht="26" x14ac:dyDescent="0.25">
      <c r="A164" s="151">
        <v>28</v>
      </c>
      <c r="B164" s="152" t="s">
        <v>152</v>
      </c>
      <c r="C164" s="251">
        <v>3</v>
      </c>
      <c r="D164" s="137">
        <f>'الصادر بعد الجرد'!Y164</f>
        <v>0</v>
      </c>
      <c r="E164" s="137">
        <f>'الوارد بعد الجرد'!AC164</f>
        <v>0</v>
      </c>
      <c r="F164" s="62">
        <f t="shared" si="12"/>
        <v>3</v>
      </c>
      <c r="G164" s="135">
        <v>215</v>
      </c>
      <c r="H164" s="153">
        <f t="shared" si="13"/>
        <v>645</v>
      </c>
      <c r="I164" s="65"/>
      <c r="J164" s="65"/>
      <c r="K164" s="65"/>
      <c r="L164" s="65"/>
    </row>
    <row r="165" spans="1:12" ht="26" x14ac:dyDescent="0.25">
      <c r="A165" s="151">
        <v>29</v>
      </c>
      <c r="B165" s="152" t="s">
        <v>153</v>
      </c>
      <c r="C165" s="251">
        <v>3</v>
      </c>
      <c r="D165" s="137">
        <f>'الصادر بعد الجرد'!Y165</f>
        <v>0</v>
      </c>
      <c r="E165" s="137">
        <f>'الوارد بعد الجرد'!AC165</f>
        <v>0</v>
      </c>
      <c r="F165" s="62">
        <f t="shared" si="12"/>
        <v>3</v>
      </c>
      <c r="G165" s="135">
        <v>215</v>
      </c>
      <c r="H165" s="153">
        <f t="shared" si="13"/>
        <v>645</v>
      </c>
      <c r="I165" s="65"/>
      <c r="J165" s="65"/>
      <c r="K165" s="65"/>
      <c r="L165" s="65"/>
    </row>
    <row r="166" spans="1:12" ht="26" x14ac:dyDescent="0.25">
      <c r="A166" s="151">
        <v>30</v>
      </c>
      <c r="B166" s="152" t="s">
        <v>154</v>
      </c>
      <c r="C166" s="251">
        <v>2</v>
      </c>
      <c r="D166" s="137">
        <f>'الصادر بعد الجرد'!Y166</f>
        <v>0</v>
      </c>
      <c r="E166" s="137">
        <f>'الوارد بعد الجرد'!AC166</f>
        <v>0</v>
      </c>
      <c r="F166" s="62">
        <f t="shared" si="12"/>
        <v>2</v>
      </c>
      <c r="G166" s="135">
        <v>215</v>
      </c>
      <c r="H166" s="153">
        <f t="shared" si="13"/>
        <v>430</v>
      </c>
      <c r="I166" s="65"/>
      <c r="J166" s="65"/>
      <c r="K166" s="65"/>
      <c r="L166" s="65"/>
    </row>
    <row r="167" spans="1:12" ht="26" x14ac:dyDescent="0.25">
      <c r="A167" s="151">
        <v>31</v>
      </c>
      <c r="B167" s="152" t="s">
        <v>155</v>
      </c>
      <c r="C167" s="251">
        <v>2</v>
      </c>
      <c r="D167" s="137">
        <f>'الصادر بعد الجرد'!Y167</f>
        <v>0</v>
      </c>
      <c r="E167" s="137">
        <f>'الوارد بعد الجرد'!AC167</f>
        <v>0</v>
      </c>
      <c r="F167" s="62">
        <f t="shared" si="12"/>
        <v>2</v>
      </c>
      <c r="G167" s="135">
        <v>215</v>
      </c>
      <c r="H167" s="153">
        <f t="shared" si="13"/>
        <v>430</v>
      </c>
      <c r="I167" s="65"/>
      <c r="J167" s="65"/>
      <c r="K167" s="65"/>
      <c r="L167" s="65"/>
    </row>
    <row r="168" spans="1:12" ht="26" x14ac:dyDescent="0.25">
      <c r="A168" s="151">
        <v>32</v>
      </c>
      <c r="B168" s="152" t="s">
        <v>156</v>
      </c>
      <c r="C168" s="251">
        <v>2</v>
      </c>
      <c r="D168" s="137">
        <f>'الصادر بعد الجرد'!Y168</f>
        <v>0</v>
      </c>
      <c r="E168" s="137">
        <f>'الوارد بعد الجرد'!AC168</f>
        <v>0</v>
      </c>
      <c r="F168" s="62">
        <f t="shared" si="12"/>
        <v>2</v>
      </c>
      <c r="G168" s="135">
        <v>215</v>
      </c>
      <c r="H168" s="153">
        <f t="shared" si="13"/>
        <v>430</v>
      </c>
      <c r="I168" s="65"/>
      <c r="J168" s="65"/>
      <c r="K168" s="65"/>
      <c r="L168" s="65"/>
    </row>
    <row r="169" spans="1:12" ht="26" x14ac:dyDescent="0.25">
      <c r="A169" s="151">
        <v>33</v>
      </c>
      <c r="B169" s="152" t="s">
        <v>157</v>
      </c>
      <c r="C169" s="251">
        <v>2</v>
      </c>
      <c r="D169" s="137">
        <f>'الصادر بعد الجرد'!Y169</f>
        <v>0</v>
      </c>
      <c r="E169" s="137">
        <f>'الوارد بعد الجرد'!AC169</f>
        <v>0</v>
      </c>
      <c r="F169" s="62">
        <f t="shared" si="12"/>
        <v>2</v>
      </c>
      <c r="G169" s="135">
        <v>215</v>
      </c>
      <c r="H169" s="153">
        <f t="shared" si="13"/>
        <v>430</v>
      </c>
      <c r="I169" s="65"/>
      <c r="J169" s="65"/>
      <c r="K169" s="65"/>
      <c r="L169" s="65"/>
    </row>
    <row r="170" spans="1:12" ht="26" x14ac:dyDescent="0.25">
      <c r="A170" s="151">
        <v>34</v>
      </c>
      <c r="B170" s="133" t="s">
        <v>303</v>
      </c>
      <c r="C170" s="251">
        <v>2</v>
      </c>
      <c r="D170" s="137">
        <f>'الصادر بعد الجرد'!Y170</f>
        <v>0</v>
      </c>
      <c r="E170" s="137">
        <f>'الوارد بعد الجرد'!AC170</f>
        <v>0</v>
      </c>
      <c r="F170" s="62">
        <f t="shared" si="12"/>
        <v>2</v>
      </c>
      <c r="G170" s="135">
        <v>215</v>
      </c>
      <c r="H170" s="153">
        <f t="shared" si="13"/>
        <v>430</v>
      </c>
      <c r="I170" s="65"/>
      <c r="J170" s="65"/>
      <c r="K170" s="65"/>
      <c r="L170" s="65"/>
    </row>
    <row r="171" spans="1:12" ht="26" x14ac:dyDescent="0.25">
      <c r="A171" s="151">
        <v>35</v>
      </c>
      <c r="B171" s="133" t="s">
        <v>304</v>
      </c>
      <c r="C171" s="251">
        <v>2</v>
      </c>
      <c r="D171" s="137">
        <f>'الصادر بعد الجرد'!Y171</f>
        <v>0</v>
      </c>
      <c r="E171" s="137">
        <f>'الوارد بعد الجرد'!AC171</f>
        <v>0</v>
      </c>
      <c r="F171" s="62">
        <f t="shared" si="12"/>
        <v>2</v>
      </c>
      <c r="G171" s="135">
        <v>215</v>
      </c>
      <c r="H171" s="153">
        <f t="shared" si="13"/>
        <v>430</v>
      </c>
      <c r="I171" s="65"/>
      <c r="J171" s="65"/>
      <c r="K171" s="65"/>
      <c r="L171" s="65"/>
    </row>
    <row r="172" spans="1:12" ht="26" x14ac:dyDescent="0.25">
      <c r="A172" s="151">
        <v>36</v>
      </c>
      <c r="B172" s="133" t="s">
        <v>305</v>
      </c>
      <c r="C172" s="251">
        <v>2</v>
      </c>
      <c r="D172" s="137">
        <f>'الصادر بعد الجرد'!Y172</f>
        <v>0</v>
      </c>
      <c r="E172" s="137">
        <f>'الوارد بعد الجرد'!AC172</f>
        <v>0</v>
      </c>
      <c r="F172" s="62">
        <f t="shared" si="12"/>
        <v>2</v>
      </c>
      <c r="G172" s="135">
        <v>215</v>
      </c>
      <c r="H172" s="153">
        <f t="shared" si="13"/>
        <v>430</v>
      </c>
      <c r="I172" s="65"/>
      <c r="J172" s="65"/>
      <c r="K172" s="65"/>
      <c r="L172" s="65"/>
    </row>
    <row r="173" spans="1:12" ht="26" x14ac:dyDescent="0.25">
      <c r="A173" s="151">
        <v>37</v>
      </c>
      <c r="B173" s="133" t="s">
        <v>306</v>
      </c>
      <c r="C173" s="251">
        <v>2</v>
      </c>
      <c r="D173" s="137">
        <f>'الصادر بعد الجرد'!Y173</f>
        <v>0</v>
      </c>
      <c r="E173" s="137">
        <f>'الوارد بعد الجرد'!AC173</f>
        <v>0</v>
      </c>
      <c r="F173" s="62">
        <f t="shared" si="12"/>
        <v>2</v>
      </c>
      <c r="G173" s="135">
        <v>215</v>
      </c>
      <c r="H173" s="153">
        <f t="shared" si="13"/>
        <v>430</v>
      </c>
      <c r="I173" s="65"/>
      <c r="J173" s="65"/>
      <c r="K173" s="65"/>
      <c r="L173" s="65"/>
    </row>
    <row r="174" spans="1:12" ht="26" x14ac:dyDescent="0.25">
      <c r="A174" s="151">
        <v>38</v>
      </c>
      <c r="B174" s="133" t="s">
        <v>307</v>
      </c>
      <c r="C174" s="251">
        <v>2</v>
      </c>
      <c r="D174" s="137">
        <f>'الصادر بعد الجرد'!Y174</f>
        <v>0</v>
      </c>
      <c r="E174" s="137">
        <f>'الوارد بعد الجرد'!AC174</f>
        <v>0</v>
      </c>
      <c r="F174" s="62">
        <f t="shared" si="12"/>
        <v>2</v>
      </c>
      <c r="G174" s="135">
        <v>215</v>
      </c>
      <c r="H174" s="153">
        <f t="shared" si="13"/>
        <v>430</v>
      </c>
      <c r="I174" s="65"/>
      <c r="J174" s="65"/>
      <c r="K174" s="65"/>
      <c r="L174" s="65"/>
    </row>
    <row r="175" spans="1:12" ht="26" x14ac:dyDescent="0.25">
      <c r="A175" s="151">
        <v>39</v>
      </c>
      <c r="B175" s="133" t="s">
        <v>308</v>
      </c>
      <c r="C175" s="251">
        <v>2</v>
      </c>
      <c r="D175" s="137">
        <f>'الصادر بعد الجرد'!Y175</f>
        <v>0</v>
      </c>
      <c r="E175" s="137">
        <f>'الوارد بعد الجرد'!AC175</f>
        <v>0</v>
      </c>
      <c r="F175" s="62">
        <f t="shared" si="12"/>
        <v>2</v>
      </c>
      <c r="G175" s="135">
        <v>215</v>
      </c>
      <c r="H175" s="153">
        <f t="shared" si="13"/>
        <v>430</v>
      </c>
      <c r="I175" s="65"/>
      <c r="J175" s="65"/>
      <c r="K175" s="65"/>
      <c r="L175" s="65"/>
    </row>
    <row r="176" spans="1:12" ht="26" x14ac:dyDescent="0.25">
      <c r="A176" s="151">
        <v>40</v>
      </c>
      <c r="B176" s="133" t="s">
        <v>309</v>
      </c>
      <c r="C176" s="251">
        <v>2</v>
      </c>
      <c r="D176" s="137">
        <f>'الصادر بعد الجرد'!Y176</f>
        <v>0</v>
      </c>
      <c r="E176" s="137">
        <f>'الوارد بعد الجرد'!AC176</f>
        <v>0</v>
      </c>
      <c r="F176" s="62">
        <f t="shared" si="12"/>
        <v>2</v>
      </c>
      <c r="G176" s="135">
        <v>215</v>
      </c>
      <c r="H176" s="153">
        <f t="shared" si="13"/>
        <v>430</v>
      </c>
      <c r="I176" s="65"/>
      <c r="J176" s="65"/>
      <c r="K176" s="65"/>
      <c r="L176" s="65"/>
    </row>
    <row r="177" spans="1:12" ht="26" x14ac:dyDescent="0.25">
      <c r="A177" s="151">
        <v>41</v>
      </c>
      <c r="B177" s="133" t="s">
        <v>310</v>
      </c>
      <c r="C177" s="251">
        <v>2</v>
      </c>
      <c r="D177" s="137">
        <f>'الصادر بعد الجرد'!Y177</f>
        <v>0</v>
      </c>
      <c r="E177" s="137">
        <f>'الوارد بعد الجرد'!AC177</f>
        <v>0</v>
      </c>
      <c r="F177" s="62">
        <f t="shared" si="12"/>
        <v>2</v>
      </c>
      <c r="G177" s="135">
        <v>215</v>
      </c>
      <c r="H177" s="153">
        <f t="shared" si="13"/>
        <v>430</v>
      </c>
      <c r="I177" s="65"/>
      <c r="J177" s="65"/>
      <c r="K177" s="65"/>
      <c r="L177" s="65"/>
    </row>
    <row r="178" spans="1:12" ht="26" x14ac:dyDescent="0.25">
      <c r="A178" s="151">
        <v>42</v>
      </c>
      <c r="B178" s="133" t="s">
        <v>311</v>
      </c>
      <c r="C178" s="251">
        <v>9</v>
      </c>
      <c r="D178" s="137">
        <f>'الصادر بعد الجرد'!Y178</f>
        <v>1</v>
      </c>
      <c r="E178" s="137">
        <f>'الوارد بعد الجرد'!AC178</f>
        <v>0</v>
      </c>
      <c r="F178" s="62">
        <f t="shared" si="12"/>
        <v>8</v>
      </c>
      <c r="G178" s="163">
        <v>350</v>
      </c>
      <c r="H178" s="153">
        <f t="shared" si="13"/>
        <v>2800</v>
      </c>
      <c r="I178" s="65"/>
      <c r="J178" s="65"/>
      <c r="K178" s="65"/>
      <c r="L178" s="65"/>
    </row>
    <row r="179" spans="1:12" ht="26" x14ac:dyDescent="0.25">
      <c r="A179" s="151">
        <v>34</v>
      </c>
      <c r="B179" s="152" t="s">
        <v>158</v>
      </c>
      <c r="C179" s="251"/>
      <c r="D179" s="137">
        <f>'الصادر بعد الجرد'!Y179</f>
        <v>0</v>
      </c>
      <c r="E179" s="137">
        <f>'الوارد بعد الجرد'!AC179</f>
        <v>0</v>
      </c>
      <c r="F179" s="62">
        <f t="shared" si="12"/>
        <v>0</v>
      </c>
      <c r="G179" s="135">
        <v>250</v>
      </c>
      <c r="H179" s="153">
        <f t="shared" si="13"/>
        <v>0</v>
      </c>
      <c r="I179" s="65"/>
      <c r="J179" s="65"/>
      <c r="K179" s="65"/>
      <c r="L179" s="65"/>
    </row>
    <row r="180" spans="1:12" ht="26" x14ac:dyDescent="0.25">
      <c r="A180" s="151">
        <v>35</v>
      </c>
      <c r="B180" s="152" t="s">
        <v>159</v>
      </c>
      <c r="C180" s="251"/>
      <c r="D180" s="137">
        <f>'الصادر بعد الجرد'!Y180</f>
        <v>0</v>
      </c>
      <c r="E180" s="137">
        <f>'الوارد بعد الجرد'!AC180</f>
        <v>0</v>
      </c>
      <c r="F180" s="62">
        <f t="shared" si="12"/>
        <v>0</v>
      </c>
      <c r="G180" s="135">
        <v>250</v>
      </c>
      <c r="H180" s="153">
        <f t="shared" si="13"/>
        <v>0</v>
      </c>
      <c r="I180" s="65"/>
      <c r="J180" s="65"/>
      <c r="K180" s="65"/>
      <c r="L180" s="65"/>
    </row>
    <row r="181" spans="1:12" ht="26" x14ac:dyDescent="0.25">
      <c r="A181" s="151">
        <v>36</v>
      </c>
      <c r="B181" s="152" t="s">
        <v>160</v>
      </c>
      <c r="C181" s="251"/>
      <c r="D181" s="137">
        <f>'الصادر بعد الجرد'!Y181</f>
        <v>0</v>
      </c>
      <c r="E181" s="137">
        <f>'الوارد بعد الجرد'!AC181</f>
        <v>0</v>
      </c>
      <c r="F181" s="62">
        <f t="shared" si="12"/>
        <v>0</v>
      </c>
      <c r="G181" s="135">
        <v>250</v>
      </c>
      <c r="H181" s="153">
        <f t="shared" si="13"/>
        <v>0</v>
      </c>
      <c r="I181" s="65"/>
      <c r="J181" s="65"/>
      <c r="K181" s="65"/>
      <c r="L181" s="65"/>
    </row>
    <row r="182" spans="1:12" ht="26" x14ac:dyDescent="0.25">
      <c r="A182" s="151">
        <v>37</v>
      </c>
      <c r="B182" s="152" t="s">
        <v>161</v>
      </c>
      <c r="C182" s="251"/>
      <c r="D182" s="137">
        <f>'الصادر بعد الجرد'!Y182</f>
        <v>0</v>
      </c>
      <c r="E182" s="137">
        <f>'الوارد بعد الجرد'!AC182</f>
        <v>0</v>
      </c>
      <c r="F182" s="62">
        <f t="shared" si="12"/>
        <v>0</v>
      </c>
      <c r="G182" s="135">
        <v>250</v>
      </c>
      <c r="H182" s="153">
        <f t="shared" si="13"/>
        <v>0</v>
      </c>
      <c r="I182" s="65"/>
      <c r="J182" s="65"/>
      <c r="K182" s="65"/>
      <c r="L182" s="65"/>
    </row>
    <row r="183" spans="1:12" ht="26" x14ac:dyDescent="0.25">
      <c r="A183" s="151">
        <v>38</v>
      </c>
      <c r="B183" s="152" t="s">
        <v>162</v>
      </c>
      <c r="C183" s="251"/>
      <c r="D183" s="137">
        <f>'الصادر بعد الجرد'!Y183</f>
        <v>0</v>
      </c>
      <c r="E183" s="137">
        <f>'الوارد بعد الجرد'!AC183</f>
        <v>0</v>
      </c>
      <c r="F183" s="62">
        <f t="shared" si="12"/>
        <v>0</v>
      </c>
      <c r="G183" s="135">
        <v>250</v>
      </c>
      <c r="H183" s="153">
        <f t="shared" si="13"/>
        <v>0</v>
      </c>
      <c r="I183" s="65"/>
      <c r="J183" s="65"/>
      <c r="K183" s="65"/>
      <c r="L183" s="65"/>
    </row>
    <row r="184" spans="1:12" ht="26" x14ac:dyDescent="0.25">
      <c r="A184" s="151">
        <v>39</v>
      </c>
      <c r="B184" s="152" t="s">
        <v>163</v>
      </c>
      <c r="C184" s="251"/>
      <c r="D184" s="137">
        <f>'الصادر بعد الجرد'!Y184</f>
        <v>0</v>
      </c>
      <c r="E184" s="137">
        <f>'الوارد بعد الجرد'!AC184</f>
        <v>0</v>
      </c>
      <c r="F184" s="62">
        <f t="shared" si="12"/>
        <v>0</v>
      </c>
      <c r="G184" s="135">
        <v>250</v>
      </c>
      <c r="H184" s="153">
        <f t="shared" si="13"/>
        <v>0</v>
      </c>
      <c r="I184" s="65"/>
      <c r="J184" s="65"/>
      <c r="K184" s="65"/>
      <c r="L184" s="65"/>
    </row>
    <row r="185" spans="1:12" ht="26" x14ac:dyDescent="0.25">
      <c r="A185" s="151">
        <v>40</v>
      </c>
      <c r="B185" s="152" t="s">
        <v>164</v>
      </c>
      <c r="C185" s="251">
        <v>3</v>
      </c>
      <c r="D185" s="137">
        <f>'الصادر بعد الجرد'!Y185</f>
        <v>0</v>
      </c>
      <c r="E185" s="137">
        <f>'الوارد بعد الجرد'!AC185</f>
        <v>0</v>
      </c>
      <c r="F185" s="62">
        <f t="shared" si="12"/>
        <v>3</v>
      </c>
      <c r="G185" s="135">
        <v>250</v>
      </c>
      <c r="H185" s="153">
        <f t="shared" si="13"/>
        <v>750</v>
      </c>
      <c r="I185" s="65"/>
      <c r="J185" s="65"/>
      <c r="K185" s="65"/>
      <c r="L185" s="65"/>
    </row>
    <row r="186" spans="1:12" ht="26" x14ac:dyDescent="0.25">
      <c r="A186" s="151">
        <v>41</v>
      </c>
      <c r="B186" s="152" t="s">
        <v>165</v>
      </c>
      <c r="C186" s="251"/>
      <c r="D186" s="137">
        <f>'الصادر بعد الجرد'!Y186</f>
        <v>0</v>
      </c>
      <c r="E186" s="137">
        <f>'الوارد بعد الجرد'!AC186</f>
        <v>0</v>
      </c>
      <c r="F186" s="62">
        <f t="shared" si="12"/>
        <v>0</v>
      </c>
      <c r="G186" s="135">
        <v>250</v>
      </c>
      <c r="H186" s="153">
        <f t="shared" si="13"/>
        <v>0</v>
      </c>
      <c r="I186" s="65"/>
      <c r="J186" s="65"/>
      <c r="K186" s="65"/>
      <c r="L186" s="65"/>
    </row>
    <row r="187" spans="1:12" ht="26" x14ac:dyDescent="0.25">
      <c r="A187" s="151">
        <v>42</v>
      </c>
      <c r="B187" s="152" t="s">
        <v>166</v>
      </c>
      <c r="C187" s="251">
        <v>4</v>
      </c>
      <c r="D187" s="137">
        <f>'الصادر بعد الجرد'!Y187</f>
        <v>0</v>
      </c>
      <c r="E187" s="137">
        <f>'الوارد بعد الجرد'!AC187</f>
        <v>0</v>
      </c>
      <c r="F187" s="62">
        <f t="shared" si="12"/>
        <v>4</v>
      </c>
      <c r="G187" s="135">
        <v>250</v>
      </c>
      <c r="H187" s="153">
        <f t="shared" si="13"/>
        <v>1000</v>
      </c>
      <c r="I187" s="65"/>
      <c r="J187" s="65"/>
      <c r="K187" s="65"/>
      <c r="L187" s="65"/>
    </row>
    <row r="188" spans="1:12" ht="26" x14ac:dyDescent="0.25">
      <c r="A188" s="151">
        <v>43</v>
      </c>
      <c r="B188" s="152" t="s">
        <v>167</v>
      </c>
      <c r="C188" s="251">
        <v>3</v>
      </c>
      <c r="D188" s="137">
        <f>'الصادر بعد الجرد'!Y188</f>
        <v>0</v>
      </c>
      <c r="E188" s="137">
        <f>'الوارد بعد الجرد'!AC188</f>
        <v>0</v>
      </c>
      <c r="F188" s="62">
        <f t="shared" si="12"/>
        <v>3</v>
      </c>
      <c r="G188" s="135">
        <v>250</v>
      </c>
      <c r="H188" s="153">
        <f t="shared" si="13"/>
        <v>750</v>
      </c>
      <c r="I188" s="65"/>
      <c r="J188" s="65"/>
      <c r="K188" s="65"/>
      <c r="L188" s="65"/>
    </row>
    <row r="189" spans="1:12" ht="26" x14ac:dyDescent="0.25">
      <c r="A189" s="151">
        <v>44</v>
      </c>
      <c r="B189" s="152" t="s">
        <v>168</v>
      </c>
      <c r="C189" s="251"/>
      <c r="D189" s="137">
        <f>'الصادر بعد الجرد'!Y189</f>
        <v>0</v>
      </c>
      <c r="E189" s="137">
        <f>'الوارد بعد الجرد'!AC189</f>
        <v>0</v>
      </c>
      <c r="F189" s="62">
        <f t="shared" si="12"/>
        <v>0</v>
      </c>
      <c r="G189" s="135">
        <v>250</v>
      </c>
      <c r="H189" s="153">
        <f t="shared" si="13"/>
        <v>0</v>
      </c>
      <c r="I189" s="65"/>
      <c r="J189" s="65"/>
      <c r="K189" s="65"/>
      <c r="L189" s="65"/>
    </row>
    <row r="190" spans="1:12" ht="26" x14ac:dyDescent="0.25">
      <c r="A190" s="151">
        <v>45</v>
      </c>
      <c r="B190" s="152" t="s">
        <v>169</v>
      </c>
      <c r="C190" s="251"/>
      <c r="D190" s="137">
        <f>'الصادر بعد الجرد'!Y190</f>
        <v>0</v>
      </c>
      <c r="E190" s="137">
        <f>'الوارد بعد الجرد'!AC190</f>
        <v>0</v>
      </c>
      <c r="F190" s="62">
        <f t="shared" si="12"/>
        <v>0</v>
      </c>
      <c r="G190" s="135">
        <v>250</v>
      </c>
      <c r="H190" s="153">
        <f t="shared" si="13"/>
        <v>0</v>
      </c>
      <c r="I190" s="65"/>
      <c r="J190" s="65"/>
      <c r="K190" s="65"/>
      <c r="L190" s="65"/>
    </row>
    <row r="191" spans="1:12" ht="26" x14ac:dyDescent="0.25">
      <c r="A191" s="151">
        <v>46</v>
      </c>
      <c r="B191" s="152" t="s">
        <v>170</v>
      </c>
      <c r="C191" s="251">
        <v>2</v>
      </c>
      <c r="D191" s="137">
        <f>'الصادر بعد الجرد'!Y191</f>
        <v>0</v>
      </c>
      <c r="E191" s="137">
        <f>'الوارد بعد الجرد'!AC191</f>
        <v>0</v>
      </c>
      <c r="F191" s="62">
        <f t="shared" si="12"/>
        <v>2</v>
      </c>
      <c r="G191" s="135">
        <v>250</v>
      </c>
      <c r="H191" s="153">
        <f t="shared" si="13"/>
        <v>500</v>
      </c>
      <c r="I191" s="65"/>
      <c r="J191" s="65"/>
      <c r="K191" s="65"/>
      <c r="L191" s="65"/>
    </row>
    <row r="192" spans="1:12" ht="26" x14ac:dyDescent="0.25">
      <c r="A192" s="151">
        <v>47</v>
      </c>
      <c r="B192" s="152" t="s">
        <v>171</v>
      </c>
      <c r="C192" s="251"/>
      <c r="D192" s="137">
        <f>'الصادر بعد الجرد'!Y192</f>
        <v>0</v>
      </c>
      <c r="E192" s="137">
        <f>'الوارد بعد الجرد'!AC192</f>
        <v>0</v>
      </c>
      <c r="F192" s="62">
        <f t="shared" si="12"/>
        <v>0</v>
      </c>
      <c r="G192" s="135">
        <v>250</v>
      </c>
      <c r="H192" s="153">
        <f t="shared" si="13"/>
        <v>0</v>
      </c>
      <c r="I192" s="65"/>
      <c r="J192" s="65"/>
      <c r="K192" s="65"/>
      <c r="L192" s="65"/>
    </row>
    <row r="193" spans="1:12" ht="26" x14ac:dyDescent="0.25">
      <c r="A193" s="151">
        <v>48</v>
      </c>
      <c r="B193" s="152" t="s">
        <v>172</v>
      </c>
      <c r="C193" s="251"/>
      <c r="D193" s="137">
        <f>'الصادر بعد الجرد'!Y193</f>
        <v>0</v>
      </c>
      <c r="E193" s="137">
        <f>'الوارد بعد الجرد'!AC193</f>
        <v>0</v>
      </c>
      <c r="F193" s="62">
        <f t="shared" si="12"/>
        <v>0</v>
      </c>
      <c r="G193" s="135">
        <v>250</v>
      </c>
      <c r="H193" s="153">
        <f t="shared" si="13"/>
        <v>0</v>
      </c>
      <c r="I193" s="65"/>
      <c r="J193" s="65"/>
      <c r="K193" s="65"/>
      <c r="L193" s="65"/>
    </row>
    <row r="194" spans="1:12" ht="26" x14ac:dyDescent="0.25">
      <c r="A194" s="151">
        <v>49</v>
      </c>
      <c r="B194" s="152" t="s">
        <v>173</v>
      </c>
      <c r="C194" s="251">
        <v>2</v>
      </c>
      <c r="D194" s="137">
        <f>'الصادر بعد الجرد'!Y194</f>
        <v>0</v>
      </c>
      <c r="E194" s="137">
        <f>'الوارد بعد الجرد'!AC194</f>
        <v>0</v>
      </c>
      <c r="F194" s="62">
        <f t="shared" si="12"/>
        <v>2</v>
      </c>
      <c r="G194" s="135">
        <v>250</v>
      </c>
      <c r="H194" s="153">
        <f t="shared" si="13"/>
        <v>500</v>
      </c>
      <c r="I194" s="65"/>
      <c r="J194" s="65"/>
      <c r="K194" s="65"/>
      <c r="L194" s="65"/>
    </row>
    <row r="195" spans="1:12" ht="26" x14ac:dyDescent="0.25">
      <c r="A195" s="151">
        <v>50</v>
      </c>
      <c r="B195" s="152" t="s">
        <v>174</v>
      </c>
      <c r="C195" s="251">
        <v>3</v>
      </c>
      <c r="D195" s="137">
        <f>'الصادر بعد الجرد'!Y195</f>
        <v>0</v>
      </c>
      <c r="E195" s="137">
        <f>'الوارد بعد الجرد'!AC195</f>
        <v>0</v>
      </c>
      <c r="F195" s="62">
        <f t="shared" si="12"/>
        <v>3</v>
      </c>
      <c r="G195" s="135">
        <v>250</v>
      </c>
      <c r="H195" s="153">
        <f t="shared" si="13"/>
        <v>750</v>
      </c>
      <c r="I195" s="65"/>
      <c r="J195" s="65"/>
      <c r="K195" s="65"/>
      <c r="L195" s="65"/>
    </row>
    <row r="196" spans="1:12" ht="26" x14ac:dyDescent="0.25">
      <c r="A196" s="151">
        <v>51</v>
      </c>
      <c r="B196" s="152" t="s">
        <v>175</v>
      </c>
      <c r="C196" s="251"/>
      <c r="D196" s="137">
        <f>'الصادر بعد الجرد'!Y196</f>
        <v>0</v>
      </c>
      <c r="E196" s="137">
        <f>'الوارد بعد الجرد'!AC196</f>
        <v>0</v>
      </c>
      <c r="F196" s="62">
        <f t="shared" si="12"/>
        <v>0</v>
      </c>
      <c r="G196" s="135">
        <v>250</v>
      </c>
      <c r="H196" s="153">
        <f t="shared" si="13"/>
        <v>0</v>
      </c>
      <c r="I196" s="65"/>
      <c r="J196" s="65"/>
      <c r="K196" s="65"/>
      <c r="L196" s="65"/>
    </row>
    <row r="197" spans="1:12" ht="26" x14ac:dyDescent="0.25">
      <c r="A197" s="151">
        <v>52</v>
      </c>
      <c r="B197" s="152" t="s">
        <v>176</v>
      </c>
      <c r="C197" s="251">
        <v>3</v>
      </c>
      <c r="D197" s="137">
        <f>'الصادر بعد الجرد'!Y197</f>
        <v>0</v>
      </c>
      <c r="E197" s="137">
        <f>'الوارد بعد الجرد'!AC197</f>
        <v>0</v>
      </c>
      <c r="F197" s="62">
        <f t="shared" si="12"/>
        <v>3</v>
      </c>
      <c r="G197" s="135">
        <v>250</v>
      </c>
      <c r="H197" s="153">
        <f t="shared" si="13"/>
        <v>750</v>
      </c>
      <c r="I197" s="65"/>
      <c r="J197" s="65"/>
      <c r="K197" s="65"/>
      <c r="L197" s="65"/>
    </row>
    <row r="198" spans="1:12" ht="26" x14ac:dyDescent="0.25">
      <c r="A198" s="151">
        <v>53</v>
      </c>
      <c r="B198" s="152" t="s">
        <v>177</v>
      </c>
      <c r="C198" s="251">
        <v>2</v>
      </c>
      <c r="D198" s="137">
        <f>'الصادر بعد الجرد'!Y198</f>
        <v>0</v>
      </c>
      <c r="E198" s="137">
        <f>'الوارد بعد الجرد'!AC198</f>
        <v>0</v>
      </c>
      <c r="F198" s="62">
        <f t="shared" si="12"/>
        <v>2</v>
      </c>
      <c r="G198" s="135">
        <v>250</v>
      </c>
      <c r="H198" s="153">
        <f t="shared" si="13"/>
        <v>500</v>
      </c>
      <c r="I198" s="65"/>
      <c r="J198" s="65"/>
      <c r="K198" s="65"/>
      <c r="L198" s="65"/>
    </row>
    <row r="199" spans="1:12" ht="26" x14ac:dyDescent="0.25">
      <c r="A199" s="151">
        <v>54</v>
      </c>
      <c r="B199" s="152" t="s">
        <v>178</v>
      </c>
      <c r="C199" s="251"/>
      <c r="D199" s="137">
        <f>'الصادر بعد الجرد'!Y199</f>
        <v>0</v>
      </c>
      <c r="E199" s="137">
        <f>'الوارد بعد الجرد'!AC199</f>
        <v>0</v>
      </c>
      <c r="F199" s="62">
        <f t="shared" si="12"/>
        <v>0</v>
      </c>
      <c r="G199" s="135">
        <v>250</v>
      </c>
      <c r="H199" s="153">
        <f t="shared" si="13"/>
        <v>0</v>
      </c>
      <c r="I199" s="65"/>
      <c r="J199" s="65"/>
      <c r="K199" s="65"/>
      <c r="L199" s="65"/>
    </row>
    <row r="200" spans="1:12" ht="26" x14ac:dyDescent="0.25">
      <c r="A200" s="151">
        <v>55</v>
      </c>
      <c r="B200" s="152" t="s">
        <v>179</v>
      </c>
      <c r="C200" s="251">
        <v>5</v>
      </c>
      <c r="D200" s="137">
        <f>'الصادر بعد الجرد'!Y200</f>
        <v>0</v>
      </c>
      <c r="E200" s="137">
        <f>'الوارد بعد الجرد'!AC200</f>
        <v>0</v>
      </c>
      <c r="F200" s="62">
        <f t="shared" si="12"/>
        <v>5</v>
      </c>
      <c r="G200" s="135">
        <v>1000</v>
      </c>
      <c r="H200" s="153">
        <f t="shared" si="13"/>
        <v>5000</v>
      </c>
      <c r="I200" s="65"/>
      <c r="J200" s="65"/>
      <c r="K200" s="65"/>
      <c r="L200" s="65"/>
    </row>
    <row r="201" spans="1:12" ht="26" x14ac:dyDescent="0.25">
      <c r="A201" s="151">
        <v>56</v>
      </c>
      <c r="B201" s="152" t="s">
        <v>180</v>
      </c>
      <c r="C201" s="251">
        <v>2</v>
      </c>
      <c r="D201" s="137">
        <f>'الصادر بعد الجرد'!Y201</f>
        <v>0</v>
      </c>
      <c r="E201" s="137">
        <f>'الوارد بعد الجرد'!AC201</f>
        <v>0</v>
      </c>
      <c r="F201" s="62">
        <f t="shared" si="12"/>
        <v>2</v>
      </c>
      <c r="G201" s="135">
        <v>1000</v>
      </c>
      <c r="H201" s="153">
        <f t="shared" si="13"/>
        <v>2000</v>
      </c>
      <c r="I201" s="65"/>
      <c r="J201" s="65"/>
      <c r="K201" s="65"/>
      <c r="L201" s="65"/>
    </row>
    <row r="202" spans="1:12" ht="26" x14ac:dyDescent="0.25">
      <c r="A202" s="151">
        <v>57</v>
      </c>
      <c r="B202" s="152" t="s">
        <v>181</v>
      </c>
      <c r="C202" s="251">
        <v>3</v>
      </c>
      <c r="D202" s="137">
        <f>'الصادر بعد الجرد'!Y202</f>
        <v>0</v>
      </c>
      <c r="E202" s="137">
        <f>'الوارد بعد الجرد'!AC202</f>
        <v>0</v>
      </c>
      <c r="F202" s="62">
        <f t="shared" si="12"/>
        <v>3</v>
      </c>
      <c r="G202" s="135">
        <v>1000</v>
      </c>
      <c r="H202" s="153">
        <f t="shared" si="13"/>
        <v>3000</v>
      </c>
      <c r="I202" s="65"/>
      <c r="J202" s="65"/>
      <c r="K202" s="65"/>
      <c r="L202" s="65"/>
    </row>
    <row r="203" spans="1:12" ht="26" x14ac:dyDescent="0.25">
      <c r="A203" s="151">
        <v>58</v>
      </c>
      <c r="B203" s="152" t="s">
        <v>182</v>
      </c>
      <c r="C203" s="251">
        <v>1</v>
      </c>
      <c r="D203" s="137">
        <f>'الصادر بعد الجرد'!Y203</f>
        <v>1</v>
      </c>
      <c r="E203" s="137">
        <f>'الوارد بعد الجرد'!AC203</f>
        <v>0</v>
      </c>
      <c r="F203" s="62">
        <f t="shared" si="12"/>
        <v>0</v>
      </c>
      <c r="G203" s="135">
        <v>1000</v>
      </c>
      <c r="H203" s="153">
        <f t="shared" si="13"/>
        <v>0</v>
      </c>
      <c r="I203" s="65"/>
      <c r="J203" s="65"/>
      <c r="K203" s="65"/>
      <c r="L203" s="65"/>
    </row>
    <row r="204" spans="1:12" ht="26" x14ac:dyDescent="0.25">
      <c r="A204" s="151">
        <v>59</v>
      </c>
      <c r="B204" s="152" t="s">
        <v>183</v>
      </c>
      <c r="C204" s="251">
        <v>2</v>
      </c>
      <c r="D204" s="137">
        <f>'الصادر بعد الجرد'!Y204</f>
        <v>0</v>
      </c>
      <c r="E204" s="137">
        <f>'الوارد بعد الجرد'!AC204</f>
        <v>0</v>
      </c>
      <c r="F204" s="62">
        <f t="shared" si="12"/>
        <v>2</v>
      </c>
      <c r="G204" s="135">
        <v>1000</v>
      </c>
      <c r="H204" s="153">
        <f t="shared" si="13"/>
        <v>2000</v>
      </c>
      <c r="I204" s="65"/>
      <c r="J204" s="65"/>
      <c r="K204" s="65"/>
      <c r="L204" s="65"/>
    </row>
    <row r="205" spans="1:12" ht="26" x14ac:dyDescent="0.25">
      <c r="A205" s="151">
        <v>60</v>
      </c>
      <c r="B205" s="152" t="s">
        <v>184</v>
      </c>
      <c r="C205" s="251">
        <v>1</v>
      </c>
      <c r="D205" s="137">
        <f>'الصادر بعد الجرد'!Y205</f>
        <v>0</v>
      </c>
      <c r="E205" s="137">
        <f>'الوارد بعد الجرد'!AC205</f>
        <v>0</v>
      </c>
      <c r="F205" s="62">
        <f t="shared" si="12"/>
        <v>1</v>
      </c>
      <c r="G205" s="135">
        <v>1000</v>
      </c>
      <c r="H205" s="153">
        <f t="shared" si="13"/>
        <v>1000</v>
      </c>
      <c r="I205" s="65"/>
      <c r="J205" s="65"/>
      <c r="K205" s="65"/>
      <c r="L205" s="65"/>
    </row>
    <row r="206" spans="1:12" ht="26" x14ac:dyDescent="0.25">
      <c r="A206" s="151">
        <v>61</v>
      </c>
      <c r="B206" s="152" t="s">
        <v>185</v>
      </c>
      <c r="C206" s="251">
        <v>2</v>
      </c>
      <c r="D206" s="137">
        <f>'الصادر بعد الجرد'!Y206</f>
        <v>0</v>
      </c>
      <c r="E206" s="137">
        <f>'الوارد بعد الجرد'!AC206</f>
        <v>0</v>
      </c>
      <c r="F206" s="62">
        <f t="shared" si="12"/>
        <v>2</v>
      </c>
      <c r="G206" s="135">
        <v>1000</v>
      </c>
      <c r="H206" s="153">
        <f t="shared" si="13"/>
        <v>2000</v>
      </c>
      <c r="I206" s="65"/>
      <c r="J206" s="65"/>
      <c r="K206" s="65"/>
      <c r="L206" s="65"/>
    </row>
    <row r="207" spans="1:12" ht="26" x14ac:dyDescent="0.25">
      <c r="A207" s="151">
        <v>62</v>
      </c>
      <c r="B207" s="152" t="s">
        <v>186</v>
      </c>
      <c r="C207" s="251">
        <v>2</v>
      </c>
      <c r="D207" s="137">
        <f>'الصادر بعد الجرد'!Y207</f>
        <v>0</v>
      </c>
      <c r="E207" s="137">
        <f>'الوارد بعد الجرد'!AC207</f>
        <v>0</v>
      </c>
      <c r="F207" s="62">
        <f t="shared" ref="F207:F223" si="14">C207-D207+E207</f>
        <v>2</v>
      </c>
      <c r="G207" s="135">
        <v>1000</v>
      </c>
      <c r="H207" s="153">
        <f t="shared" si="13"/>
        <v>2000</v>
      </c>
      <c r="I207" s="65"/>
      <c r="J207" s="65"/>
      <c r="K207" s="65"/>
      <c r="L207" s="65"/>
    </row>
    <row r="208" spans="1:12" ht="26" x14ac:dyDescent="0.25">
      <c r="A208" s="151">
        <v>63</v>
      </c>
      <c r="B208" s="152" t="s">
        <v>187</v>
      </c>
      <c r="C208" s="251">
        <v>3</v>
      </c>
      <c r="D208" s="137">
        <f>'الصادر بعد الجرد'!Y208</f>
        <v>0</v>
      </c>
      <c r="E208" s="137">
        <f>'الوارد بعد الجرد'!AC208</f>
        <v>0</v>
      </c>
      <c r="F208" s="62">
        <f t="shared" si="14"/>
        <v>3</v>
      </c>
      <c r="G208" s="135">
        <v>1000</v>
      </c>
      <c r="H208" s="153">
        <f t="shared" ref="H208:H223" si="15">G208*F208</f>
        <v>3000</v>
      </c>
      <c r="I208" s="65"/>
      <c r="J208" s="65"/>
      <c r="K208" s="65"/>
      <c r="L208" s="65"/>
    </row>
    <row r="209" spans="1:13" ht="26" x14ac:dyDescent="0.25">
      <c r="A209" s="151">
        <v>64</v>
      </c>
      <c r="B209" s="152" t="s">
        <v>188</v>
      </c>
      <c r="C209" s="251">
        <v>2</v>
      </c>
      <c r="D209" s="137">
        <f>'الصادر بعد الجرد'!Y209</f>
        <v>0</v>
      </c>
      <c r="E209" s="137">
        <f>'الوارد بعد الجرد'!AC209</f>
        <v>0</v>
      </c>
      <c r="F209" s="62">
        <f t="shared" si="14"/>
        <v>2</v>
      </c>
      <c r="G209" s="135">
        <v>1000</v>
      </c>
      <c r="H209" s="153">
        <f t="shared" si="15"/>
        <v>2000</v>
      </c>
      <c r="I209" s="65"/>
      <c r="J209" s="65"/>
      <c r="K209" s="65"/>
      <c r="L209" s="65"/>
    </row>
    <row r="210" spans="1:13" ht="26" x14ac:dyDescent="0.25">
      <c r="A210" s="151">
        <v>65</v>
      </c>
      <c r="B210" s="152" t="s">
        <v>189</v>
      </c>
      <c r="C210" s="251">
        <v>1</v>
      </c>
      <c r="D210" s="137">
        <f>'الصادر بعد الجرد'!Y210</f>
        <v>0</v>
      </c>
      <c r="E210" s="137">
        <f>'الوارد بعد الجرد'!AC210</f>
        <v>0</v>
      </c>
      <c r="F210" s="62">
        <f t="shared" si="14"/>
        <v>1</v>
      </c>
      <c r="G210" s="135">
        <v>1000</v>
      </c>
      <c r="H210" s="153">
        <f t="shared" si="15"/>
        <v>1000</v>
      </c>
      <c r="I210" s="65"/>
      <c r="J210" s="65"/>
      <c r="K210" s="65"/>
      <c r="L210" s="65"/>
    </row>
    <row r="211" spans="1:13" ht="26" x14ac:dyDescent="0.25">
      <c r="A211" s="151">
        <v>66</v>
      </c>
      <c r="B211" s="152" t="s">
        <v>190</v>
      </c>
      <c r="C211" s="251">
        <v>2</v>
      </c>
      <c r="D211" s="137">
        <f>'الصادر بعد الجرد'!Y211</f>
        <v>0</v>
      </c>
      <c r="E211" s="137">
        <f>'الوارد بعد الجرد'!AC211</f>
        <v>0</v>
      </c>
      <c r="F211" s="62">
        <f t="shared" si="14"/>
        <v>2</v>
      </c>
      <c r="G211" s="135">
        <v>1000</v>
      </c>
      <c r="H211" s="153">
        <f t="shared" si="15"/>
        <v>2000</v>
      </c>
      <c r="I211" s="65"/>
      <c r="J211" s="65"/>
      <c r="K211" s="65"/>
      <c r="L211" s="65"/>
    </row>
    <row r="212" spans="1:13" ht="26" x14ac:dyDescent="0.25">
      <c r="A212" s="151">
        <v>67</v>
      </c>
      <c r="B212" s="152" t="s">
        <v>191</v>
      </c>
      <c r="C212" s="251">
        <v>1</v>
      </c>
      <c r="D212" s="137">
        <f>'الصادر بعد الجرد'!Y212</f>
        <v>0</v>
      </c>
      <c r="E212" s="137">
        <f>'الوارد بعد الجرد'!AC212</f>
        <v>0</v>
      </c>
      <c r="F212" s="62">
        <f t="shared" si="14"/>
        <v>1</v>
      </c>
      <c r="G212" s="135">
        <v>1000</v>
      </c>
      <c r="H212" s="153">
        <f t="shared" si="15"/>
        <v>1000</v>
      </c>
      <c r="I212" s="65"/>
      <c r="J212" s="65"/>
      <c r="K212" s="65"/>
      <c r="L212" s="65"/>
    </row>
    <row r="213" spans="1:13" ht="26" x14ac:dyDescent="0.25">
      <c r="A213" s="151">
        <v>68</v>
      </c>
      <c r="B213" s="152" t="s">
        <v>192</v>
      </c>
      <c r="C213" s="251">
        <v>0</v>
      </c>
      <c r="D213" s="137">
        <f>'الصادر بعد الجرد'!Y213</f>
        <v>0</v>
      </c>
      <c r="E213" s="137">
        <f>'الوارد بعد الجرد'!AC213</f>
        <v>0</v>
      </c>
      <c r="F213" s="62">
        <f t="shared" si="14"/>
        <v>0</v>
      </c>
      <c r="G213" s="135">
        <v>1000</v>
      </c>
      <c r="H213" s="153">
        <f t="shared" si="15"/>
        <v>0</v>
      </c>
      <c r="I213" s="65"/>
      <c r="J213" s="65"/>
      <c r="K213" s="65"/>
      <c r="L213" s="65"/>
    </row>
    <row r="214" spans="1:13" ht="26" x14ac:dyDescent="0.25">
      <c r="A214" s="151">
        <v>69</v>
      </c>
      <c r="B214" s="152" t="s">
        <v>193</v>
      </c>
      <c r="C214" s="251">
        <v>1</v>
      </c>
      <c r="D214" s="137">
        <f>'الصادر بعد الجرد'!Y214</f>
        <v>0</v>
      </c>
      <c r="E214" s="137">
        <f>'الوارد بعد الجرد'!AC214</f>
        <v>0</v>
      </c>
      <c r="F214" s="62">
        <f t="shared" si="14"/>
        <v>1</v>
      </c>
      <c r="G214" s="135">
        <v>1000</v>
      </c>
      <c r="H214" s="153">
        <f t="shared" si="15"/>
        <v>1000</v>
      </c>
      <c r="I214" s="65"/>
      <c r="J214" s="65"/>
      <c r="K214" s="65"/>
      <c r="L214" s="65"/>
    </row>
    <row r="215" spans="1:13" ht="26" x14ac:dyDescent="0.25">
      <c r="A215" s="151">
        <v>70</v>
      </c>
      <c r="B215" s="152" t="s">
        <v>194</v>
      </c>
      <c r="C215" s="251">
        <v>2</v>
      </c>
      <c r="D215" s="137">
        <f>'الصادر بعد الجرد'!Y215</f>
        <v>0</v>
      </c>
      <c r="E215" s="137">
        <f>'الوارد بعد الجرد'!AC215</f>
        <v>0</v>
      </c>
      <c r="F215" s="62">
        <f t="shared" si="14"/>
        <v>2</v>
      </c>
      <c r="G215" s="135">
        <v>1000</v>
      </c>
      <c r="H215" s="153">
        <f t="shared" si="15"/>
        <v>2000</v>
      </c>
      <c r="I215" s="65"/>
      <c r="J215" s="65"/>
      <c r="K215" s="65"/>
      <c r="L215" s="65"/>
    </row>
    <row r="216" spans="1:13" ht="26" x14ac:dyDescent="0.25">
      <c r="A216" s="151">
        <v>71</v>
      </c>
      <c r="B216" s="152" t="s">
        <v>195</v>
      </c>
      <c r="C216" s="251">
        <v>1</v>
      </c>
      <c r="D216" s="137">
        <f>'الصادر بعد الجرد'!Y216</f>
        <v>0</v>
      </c>
      <c r="E216" s="137">
        <f>'الوارد بعد الجرد'!AC216</f>
        <v>0</v>
      </c>
      <c r="F216" s="62">
        <f t="shared" si="14"/>
        <v>1</v>
      </c>
      <c r="G216" s="135">
        <v>1000</v>
      </c>
      <c r="H216" s="153">
        <f t="shared" si="15"/>
        <v>1000</v>
      </c>
      <c r="I216" s="65"/>
      <c r="J216" s="65"/>
      <c r="K216" s="65"/>
      <c r="L216" s="65"/>
    </row>
    <row r="217" spans="1:13" ht="26" x14ac:dyDescent="0.25">
      <c r="A217" s="151">
        <v>72</v>
      </c>
      <c r="B217" s="152" t="s">
        <v>196</v>
      </c>
      <c r="C217" s="251">
        <v>2</v>
      </c>
      <c r="D217" s="137">
        <f>'الصادر بعد الجرد'!Y217</f>
        <v>0</v>
      </c>
      <c r="E217" s="137">
        <f>'الوارد بعد الجرد'!AC217</f>
        <v>0</v>
      </c>
      <c r="F217" s="62">
        <f t="shared" si="14"/>
        <v>2</v>
      </c>
      <c r="G217" s="135">
        <v>1000</v>
      </c>
      <c r="H217" s="153">
        <f t="shared" si="15"/>
        <v>2000</v>
      </c>
      <c r="I217" s="65"/>
      <c r="J217" s="65"/>
      <c r="K217" s="65"/>
      <c r="L217" s="65"/>
    </row>
    <row r="218" spans="1:13" ht="26" x14ac:dyDescent="0.25">
      <c r="A218" s="151">
        <v>73</v>
      </c>
      <c r="B218" s="152" t="s">
        <v>197</v>
      </c>
      <c r="C218" s="251">
        <v>3</v>
      </c>
      <c r="D218" s="137">
        <f>'الصادر بعد الجرد'!Y218</f>
        <v>0</v>
      </c>
      <c r="E218" s="137">
        <f>'الوارد بعد الجرد'!AC218</f>
        <v>0</v>
      </c>
      <c r="F218" s="62">
        <f t="shared" si="14"/>
        <v>3</v>
      </c>
      <c r="G218" s="135">
        <v>1000</v>
      </c>
      <c r="H218" s="153">
        <f t="shared" si="15"/>
        <v>3000</v>
      </c>
      <c r="I218" s="65"/>
      <c r="J218" s="65"/>
      <c r="K218" s="65"/>
      <c r="L218" s="65"/>
    </row>
    <row r="219" spans="1:13" ht="26" x14ac:dyDescent="0.25">
      <c r="A219" s="151">
        <v>74</v>
      </c>
      <c r="B219" s="152" t="s">
        <v>198</v>
      </c>
      <c r="C219" s="251">
        <v>2</v>
      </c>
      <c r="D219" s="137">
        <f>'الصادر بعد الجرد'!Y219</f>
        <v>0</v>
      </c>
      <c r="E219" s="137">
        <f>'الوارد بعد الجرد'!AC219</f>
        <v>0</v>
      </c>
      <c r="F219" s="62">
        <f t="shared" si="14"/>
        <v>2</v>
      </c>
      <c r="G219" s="135">
        <v>1000</v>
      </c>
      <c r="H219" s="153">
        <f t="shared" si="15"/>
        <v>2000</v>
      </c>
      <c r="I219" s="65"/>
      <c r="J219" s="65"/>
      <c r="K219" s="65"/>
      <c r="L219" s="65"/>
    </row>
    <row r="220" spans="1:13" ht="26" x14ac:dyDescent="0.25">
      <c r="A220" s="151">
        <v>75</v>
      </c>
      <c r="B220" s="152" t="s">
        <v>199</v>
      </c>
      <c r="C220" s="251">
        <v>4</v>
      </c>
      <c r="D220" s="137">
        <f>'الصادر بعد الجرد'!Y220</f>
        <v>0</v>
      </c>
      <c r="E220" s="137">
        <f>'الوارد بعد الجرد'!AC220</f>
        <v>0</v>
      </c>
      <c r="F220" s="62">
        <f t="shared" si="14"/>
        <v>4</v>
      </c>
      <c r="G220" s="135">
        <v>1000</v>
      </c>
      <c r="H220" s="153">
        <f t="shared" si="15"/>
        <v>4000</v>
      </c>
      <c r="I220" s="65"/>
      <c r="J220" s="65"/>
      <c r="K220" s="65"/>
      <c r="L220" s="65"/>
    </row>
    <row r="221" spans="1:13" ht="26" x14ac:dyDescent="0.25">
      <c r="A221" s="151">
        <v>76</v>
      </c>
      <c r="B221" s="152" t="s">
        <v>340</v>
      </c>
      <c r="C221" s="251">
        <v>18</v>
      </c>
      <c r="D221" s="137">
        <f>'الصادر بعد الجرد'!Y221</f>
        <v>2</v>
      </c>
      <c r="E221" s="137">
        <f>'الوارد بعد الجرد'!AC221</f>
        <v>0</v>
      </c>
      <c r="F221" s="62">
        <f t="shared" si="14"/>
        <v>16</v>
      </c>
      <c r="G221" s="135">
        <v>1000</v>
      </c>
      <c r="H221" s="153">
        <f t="shared" si="15"/>
        <v>16000</v>
      </c>
      <c r="I221" s="65"/>
      <c r="J221" s="65"/>
      <c r="K221" s="65"/>
      <c r="L221" s="65"/>
    </row>
    <row r="222" spans="1:13" ht="26" x14ac:dyDescent="0.25">
      <c r="A222" s="151">
        <v>77</v>
      </c>
      <c r="B222" s="152" t="s">
        <v>239</v>
      </c>
      <c r="C222" s="251">
        <v>39</v>
      </c>
      <c r="D222" s="137">
        <f>'الصادر بعد الجرد'!Y222</f>
        <v>5</v>
      </c>
      <c r="E222" s="137">
        <f>'الوارد بعد الجرد'!AC222</f>
        <v>0</v>
      </c>
      <c r="F222" s="62">
        <f t="shared" si="14"/>
        <v>34</v>
      </c>
      <c r="G222" s="135">
        <v>480</v>
      </c>
      <c r="H222" s="153">
        <f t="shared" si="15"/>
        <v>16320</v>
      </c>
      <c r="I222" s="65"/>
      <c r="J222" s="65"/>
      <c r="K222" s="65"/>
      <c r="L222" s="65"/>
    </row>
    <row r="223" spans="1:13" ht="27" thickBot="1" x14ac:dyDescent="0.3">
      <c r="A223" s="154">
        <v>78</v>
      </c>
      <c r="B223" s="155" t="s">
        <v>229</v>
      </c>
      <c r="C223" s="278">
        <v>8</v>
      </c>
      <c r="D223" s="156">
        <f>'الصادر بعد الجرد'!Y223</f>
        <v>0</v>
      </c>
      <c r="E223" s="156">
        <f>'الوارد بعد الجرد'!AC223</f>
        <v>0</v>
      </c>
      <c r="F223" s="157">
        <f t="shared" si="14"/>
        <v>8</v>
      </c>
      <c r="G223" s="158">
        <v>565</v>
      </c>
      <c r="H223" s="162">
        <f t="shared" si="15"/>
        <v>4520</v>
      </c>
      <c r="I223" s="65"/>
      <c r="J223" s="65"/>
      <c r="K223" s="65"/>
      <c r="L223" s="65"/>
    </row>
    <row r="224" spans="1:13" ht="27" thickBot="1" x14ac:dyDescent="0.3">
      <c r="A224" s="360" t="s">
        <v>323</v>
      </c>
      <c r="B224" s="361"/>
      <c r="C224" s="361"/>
      <c r="D224" s="361"/>
      <c r="E224" s="361"/>
      <c r="F224" s="361"/>
      <c r="G224" s="361"/>
      <c r="H224" s="159">
        <f>SUM(H4:H223)</f>
        <v>838809</v>
      </c>
      <c r="I224"/>
      <c r="J224"/>
      <c r="K224"/>
      <c r="L224"/>
      <c r="M224"/>
    </row>
    <row r="225" spans="1:13" ht="26" x14ac:dyDescent="0.2">
      <c r="A225"/>
      <c r="B225"/>
      <c r="C225"/>
      <c r="D225"/>
      <c r="E225"/>
      <c r="F225"/>
      <c r="G225"/>
      <c r="H225" s="160"/>
      <c r="I225"/>
      <c r="J225"/>
      <c r="K225"/>
      <c r="L225"/>
      <c r="M225"/>
    </row>
    <row r="226" spans="1:13" ht="15" x14ac:dyDescent="0.2">
      <c r="A226"/>
      <c r="B226"/>
      <c r="C226"/>
      <c r="D226"/>
      <c r="E226"/>
      <c r="F226"/>
      <c r="G226"/>
      <c r="H226"/>
      <c r="I226"/>
      <c r="J226"/>
      <c r="K226"/>
      <c r="L226"/>
      <c r="M226"/>
    </row>
    <row r="227" spans="1:13" ht="15" x14ac:dyDescent="0.2">
      <c r="A227"/>
      <c r="B227"/>
      <c r="C227"/>
      <c r="D227"/>
      <c r="E227"/>
      <c r="F227"/>
      <c r="G227"/>
      <c r="H227"/>
      <c r="I227"/>
      <c r="J227"/>
      <c r="K227"/>
      <c r="L227"/>
      <c r="M227"/>
    </row>
    <row r="228" spans="1:13" ht="15" x14ac:dyDescent="0.2">
      <c r="A228"/>
      <c r="B228"/>
      <c r="C228"/>
      <c r="D228"/>
      <c r="E228"/>
      <c r="F228"/>
      <c r="G228"/>
      <c r="H228"/>
      <c r="I228"/>
      <c r="J228"/>
      <c r="K228"/>
      <c r="L228"/>
      <c r="M228"/>
    </row>
    <row r="229" spans="1:13" ht="15" x14ac:dyDescent="0.2">
      <c r="A229"/>
      <c r="B229"/>
      <c r="C229"/>
      <c r="D229"/>
      <c r="E229"/>
      <c r="F229"/>
      <c r="G229"/>
      <c r="H229"/>
      <c r="I229"/>
      <c r="J229"/>
      <c r="K229"/>
      <c r="L229"/>
      <c r="M229"/>
    </row>
    <row r="230" spans="1:13" ht="15" x14ac:dyDescent="0.2">
      <c r="A230"/>
      <c r="B230"/>
      <c r="C230"/>
      <c r="D230"/>
      <c r="E230"/>
      <c r="F230"/>
      <c r="G230"/>
      <c r="H230"/>
      <c r="I230"/>
      <c r="J230"/>
      <c r="K230"/>
      <c r="L230"/>
      <c r="M230"/>
    </row>
    <row r="231" spans="1:13" ht="15" x14ac:dyDescent="0.2">
      <c r="A231"/>
      <c r="B231"/>
      <c r="C231"/>
      <c r="D231"/>
      <c r="E231"/>
      <c r="F231"/>
      <c r="G231"/>
      <c r="H231"/>
      <c r="I231"/>
      <c r="J231"/>
      <c r="K231"/>
      <c r="L231"/>
      <c r="M231"/>
    </row>
    <row r="232" spans="1:13" ht="15" x14ac:dyDescent="0.2">
      <c r="A232"/>
      <c r="B232"/>
      <c r="C232"/>
      <c r="D232"/>
      <c r="E232"/>
      <c r="F232"/>
      <c r="G232"/>
      <c r="H232"/>
      <c r="I232"/>
      <c r="J232"/>
      <c r="K232"/>
      <c r="L232"/>
      <c r="M232"/>
    </row>
    <row r="233" spans="1:13" ht="15" x14ac:dyDescent="0.2">
      <c r="A233"/>
      <c r="B233"/>
      <c r="C233"/>
      <c r="D233"/>
      <c r="E233"/>
      <c r="F233"/>
      <c r="G233"/>
      <c r="H233"/>
      <c r="I233"/>
      <c r="J233"/>
      <c r="K233"/>
      <c r="L233"/>
      <c r="M233"/>
    </row>
    <row r="234" spans="1:13" ht="15" x14ac:dyDescent="0.2">
      <c r="A234"/>
      <c r="B234"/>
      <c r="C234"/>
      <c r="D234"/>
      <c r="E234"/>
      <c r="F234"/>
      <c r="G234"/>
      <c r="H234"/>
      <c r="I234"/>
      <c r="J234"/>
      <c r="K234"/>
      <c r="L234"/>
      <c r="M234"/>
    </row>
    <row r="235" spans="1:13" ht="15" x14ac:dyDescent="0.2">
      <c r="A235"/>
      <c r="B235"/>
      <c r="C235"/>
      <c r="D235"/>
      <c r="E235"/>
      <c r="F235"/>
      <c r="G235"/>
      <c r="H235"/>
      <c r="I235"/>
      <c r="J235"/>
      <c r="K235"/>
      <c r="L235"/>
      <c r="M235"/>
    </row>
    <row r="236" spans="1:13" ht="15" x14ac:dyDescent="0.2">
      <c r="A236"/>
      <c r="B236"/>
      <c r="C236"/>
      <c r="D236"/>
      <c r="E236"/>
      <c r="F236"/>
      <c r="G236"/>
      <c r="H236"/>
      <c r="I236"/>
      <c r="J236"/>
      <c r="K236"/>
      <c r="L236"/>
      <c r="M236"/>
    </row>
    <row r="237" spans="1:13" ht="15" x14ac:dyDescent="0.2">
      <c r="A237"/>
      <c r="B237"/>
      <c r="C237"/>
      <c r="D237"/>
      <c r="E237"/>
      <c r="F237"/>
      <c r="G237"/>
      <c r="H237"/>
      <c r="I237"/>
      <c r="J237"/>
      <c r="K237"/>
      <c r="L237"/>
      <c r="M237"/>
    </row>
    <row r="238" spans="1:13" ht="15" x14ac:dyDescent="0.2">
      <c r="A238"/>
      <c r="B238"/>
      <c r="C238"/>
      <c r="D238"/>
      <c r="E238"/>
      <c r="F238"/>
      <c r="G238"/>
      <c r="H238"/>
      <c r="I238"/>
      <c r="J238"/>
      <c r="K238"/>
      <c r="L238"/>
      <c r="M238"/>
    </row>
    <row r="239" spans="1:13" ht="15" x14ac:dyDescent="0.2">
      <c r="A239"/>
      <c r="B239"/>
      <c r="C239"/>
      <c r="D239"/>
      <c r="E239"/>
      <c r="F239"/>
      <c r="G239"/>
      <c r="H239"/>
      <c r="I239"/>
      <c r="J239"/>
      <c r="K239"/>
      <c r="L239"/>
      <c r="M239"/>
    </row>
    <row r="240" spans="1:13" ht="15" x14ac:dyDescent="0.2">
      <c r="A240"/>
      <c r="B240"/>
      <c r="C240"/>
      <c r="D240"/>
      <c r="E240"/>
      <c r="F240"/>
      <c r="G240"/>
      <c r="H240"/>
      <c r="I240"/>
      <c r="J240"/>
      <c r="K240"/>
      <c r="L240"/>
      <c r="M240"/>
    </row>
    <row r="241" spans="1:13" ht="15" x14ac:dyDescent="0.2">
      <c r="A241"/>
      <c r="B241"/>
      <c r="C241"/>
      <c r="D241"/>
      <c r="E241"/>
      <c r="F241"/>
      <c r="G241"/>
      <c r="H241"/>
      <c r="I241"/>
      <c r="J241"/>
      <c r="K241"/>
      <c r="L241"/>
      <c r="M241"/>
    </row>
    <row r="242" spans="1:13" ht="15" x14ac:dyDescent="0.2">
      <c r="A242"/>
      <c r="B242"/>
      <c r="C242"/>
      <c r="D242"/>
      <c r="E242"/>
      <c r="F242"/>
      <c r="G242"/>
      <c r="H242"/>
      <c r="I242"/>
      <c r="J242"/>
      <c r="K242"/>
      <c r="L242"/>
      <c r="M242"/>
    </row>
    <row r="243" spans="1:13" ht="15" x14ac:dyDescent="0.2">
      <c r="A243"/>
      <c r="B243"/>
      <c r="C243"/>
      <c r="D243"/>
      <c r="E243"/>
      <c r="F243"/>
      <c r="G243"/>
      <c r="H243"/>
      <c r="I243"/>
      <c r="J243"/>
      <c r="K243"/>
      <c r="L243"/>
      <c r="M243"/>
    </row>
    <row r="244" spans="1:13" ht="15" x14ac:dyDescent="0.2">
      <c r="A244"/>
      <c r="B244"/>
      <c r="C244"/>
      <c r="D244"/>
      <c r="E244"/>
      <c r="F244"/>
      <c r="G244"/>
      <c r="H244"/>
      <c r="I244"/>
      <c r="J244"/>
      <c r="K244"/>
      <c r="L244"/>
      <c r="M244"/>
    </row>
    <row r="245" spans="1:13" ht="15" x14ac:dyDescent="0.2">
      <c r="A245"/>
      <c r="B245"/>
      <c r="C245"/>
      <c r="D245"/>
      <c r="E245"/>
      <c r="F245"/>
      <c r="G245"/>
      <c r="H245"/>
      <c r="I245"/>
      <c r="J245"/>
      <c r="K245"/>
      <c r="L245"/>
      <c r="M245"/>
    </row>
    <row r="246" spans="1:13" ht="15" x14ac:dyDescent="0.2">
      <c r="A246"/>
      <c r="B246"/>
      <c r="C246"/>
      <c r="D246"/>
      <c r="E246"/>
      <c r="F246"/>
      <c r="G246"/>
      <c r="H246"/>
      <c r="I246"/>
      <c r="J246"/>
      <c r="K246"/>
      <c r="L246"/>
      <c r="M246"/>
    </row>
    <row r="247" spans="1:13" ht="15" x14ac:dyDescent="0.2">
      <c r="A247"/>
      <c r="B247"/>
      <c r="C247"/>
      <c r="D247"/>
      <c r="E247"/>
      <c r="F247"/>
      <c r="G247"/>
      <c r="H247"/>
      <c r="I247"/>
      <c r="J247"/>
      <c r="K247"/>
      <c r="L247"/>
      <c r="M247"/>
    </row>
    <row r="248" spans="1:13" ht="15" x14ac:dyDescent="0.2">
      <c r="A248"/>
      <c r="B248"/>
      <c r="C248"/>
      <c r="D248"/>
      <c r="E248"/>
      <c r="F248"/>
      <c r="G248"/>
      <c r="H248"/>
      <c r="I248"/>
      <c r="J248"/>
      <c r="K248"/>
      <c r="L248"/>
      <c r="M248"/>
    </row>
    <row r="249" spans="1:13" ht="15" x14ac:dyDescent="0.2">
      <c r="A249"/>
      <c r="B249"/>
      <c r="C249"/>
      <c r="D249"/>
      <c r="E249"/>
      <c r="F249"/>
      <c r="G249"/>
      <c r="H249"/>
      <c r="I249"/>
      <c r="J249"/>
      <c r="K249"/>
      <c r="L249"/>
      <c r="M249"/>
    </row>
    <row r="250" spans="1:13" ht="15" x14ac:dyDescent="0.2">
      <c r="A250"/>
      <c r="B250"/>
      <c r="C250"/>
      <c r="D250"/>
      <c r="E250"/>
      <c r="F250"/>
      <c r="G250"/>
      <c r="H250"/>
      <c r="I250"/>
      <c r="J250"/>
      <c r="K250"/>
      <c r="L250"/>
      <c r="M250"/>
    </row>
    <row r="251" spans="1:13" ht="15" x14ac:dyDescent="0.2">
      <c r="A251"/>
      <c r="B251"/>
      <c r="C251"/>
      <c r="D251"/>
      <c r="E251"/>
      <c r="F251"/>
      <c r="G251"/>
      <c r="H251"/>
      <c r="I251"/>
      <c r="J251"/>
      <c r="K251"/>
      <c r="L251"/>
      <c r="M251"/>
    </row>
    <row r="252" spans="1:13" ht="15" x14ac:dyDescent="0.2">
      <c r="A252"/>
      <c r="B252"/>
      <c r="C252"/>
      <c r="D252"/>
      <c r="E252"/>
      <c r="F252"/>
      <c r="G252"/>
      <c r="H252"/>
      <c r="I252"/>
      <c r="J252"/>
      <c r="K252"/>
      <c r="L252"/>
      <c r="M252"/>
    </row>
    <row r="253" spans="1:13" ht="15" x14ac:dyDescent="0.2">
      <c r="A253"/>
      <c r="B253"/>
      <c r="C253"/>
      <c r="D253"/>
      <c r="E253"/>
      <c r="F253"/>
      <c r="G253"/>
      <c r="H253"/>
      <c r="I253"/>
      <c r="J253"/>
      <c r="K253"/>
      <c r="L253"/>
      <c r="M253"/>
    </row>
    <row r="254" spans="1:13" ht="15" x14ac:dyDescent="0.2">
      <c r="A254"/>
      <c r="B254"/>
      <c r="C254"/>
      <c r="D254"/>
      <c r="E254"/>
      <c r="F254"/>
      <c r="G254"/>
      <c r="H254"/>
      <c r="I254"/>
      <c r="J254"/>
      <c r="K254"/>
      <c r="L254"/>
      <c r="M254"/>
    </row>
    <row r="255" spans="1:13" ht="15" x14ac:dyDescent="0.2">
      <c r="A255"/>
      <c r="B255"/>
      <c r="C255"/>
      <c r="D255"/>
      <c r="E255"/>
      <c r="F255"/>
      <c r="G255"/>
      <c r="H255"/>
      <c r="I255"/>
      <c r="J255"/>
      <c r="K255"/>
      <c r="L255"/>
      <c r="M255"/>
    </row>
    <row r="256" spans="1:13" ht="15" x14ac:dyDescent="0.2">
      <c r="A256"/>
      <c r="B256"/>
      <c r="C256"/>
      <c r="D256"/>
      <c r="E256"/>
      <c r="F256"/>
      <c r="G256"/>
      <c r="H256"/>
      <c r="I256"/>
      <c r="J256"/>
      <c r="K256"/>
      <c r="L256"/>
      <c r="M256"/>
    </row>
    <row r="257" spans="1:13" ht="15" x14ac:dyDescent="0.2">
      <c r="A257"/>
      <c r="B257"/>
      <c r="C257"/>
      <c r="D257"/>
      <c r="E257"/>
      <c r="F257"/>
      <c r="G257"/>
      <c r="H257"/>
      <c r="I257"/>
      <c r="J257"/>
      <c r="K257"/>
      <c r="L257"/>
      <c r="M257"/>
    </row>
    <row r="258" spans="1:13" ht="15" x14ac:dyDescent="0.2">
      <c r="A258"/>
      <c r="B258"/>
      <c r="C258"/>
      <c r="D258"/>
      <c r="E258"/>
      <c r="F258"/>
      <c r="G258"/>
      <c r="H258"/>
      <c r="I258"/>
      <c r="J258"/>
      <c r="K258"/>
      <c r="L258"/>
      <c r="M258"/>
    </row>
    <row r="259" spans="1:13" ht="15" x14ac:dyDescent="0.2">
      <c r="A259"/>
      <c r="B259"/>
      <c r="C259"/>
      <c r="D259"/>
      <c r="E259"/>
      <c r="F259"/>
      <c r="G259"/>
      <c r="H259"/>
      <c r="I259"/>
      <c r="J259"/>
      <c r="K259"/>
      <c r="L259"/>
      <c r="M259"/>
    </row>
    <row r="260" spans="1:13" ht="15" x14ac:dyDescent="0.2">
      <c r="A260"/>
      <c r="B260"/>
      <c r="C260"/>
      <c r="D260"/>
      <c r="E260"/>
      <c r="F260"/>
      <c r="G260"/>
      <c r="H260"/>
      <c r="I260"/>
      <c r="J260"/>
      <c r="K260"/>
      <c r="L260"/>
      <c r="M260"/>
    </row>
    <row r="261" spans="1:13" ht="15" x14ac:dyDescent="0.2">
      <c r="A261"/>
      <c r="B261"/>
      <c r="C261"/>
      <c r="D261"/>
      <c r="E261"/>
      <c r="F261"/>
      <c r="G261"/>
      <c r="H261"/>
      <c r="I261"/>
      <c r="J261"/>
      <c r="K261"/>
      <c r="L261"/>
      <c r="M261"/>
    </row>
    <row r="262" spans="1:13" ht="15" x14ac:dyDescent="0.2">
      <c r="A262"/>
      <c r="B262"/>
      <c r="C262"/>
      <c r="D262"/>
      <c r="E262"/>
      <c r="F262"/>
      <c r="G262"/>
      <c r="H262"/>
      <c r="I262"/>
      <c r="J262"/>
      <c r="K262"/>
      <c r="L262"/>
      <c r="M262"/>
    </row>
    <row r="263" spans="1:13" ht="15" x14ac:dyDescent="0.2">
      <c r="A263"/>
      <c r="B263"/>
      <c r="C263"/>
      <c r="D263"/>
      <c r="E263"/>
      <c r="F263"/>
      <c r="G263"/>
      <c r="H263"/>
      <c r="I263"/>
      <c r="J263"/>
      <c r="K263"/>
      <c r="L263"/>
      <c r="M263"/>
    </row>
    <row r="264" spans="1:13" ht="15" x14ac:dyDescent="0.2">
      <c r="A264"/>
      <c r="B264"/>
      <c r="C264"/>
      <c r="D264"/>
      <c r="E264"/>
      <c r="F264"/>
      <c r="G264"/>
      <c r="H264"/>
      <c r="I264"/>
      <c r="J264"/>
      <c r="K264"/>
      <c r="L264"/>
      <c r="M264"/>
    </row>
    <row r="265" spans="1:13" ht="15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</row>
    <row r="266" spans="1:13" ht="15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</row>
    <row r="267" spans="1:13" ht="15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</row>
    <row r="268" spans="1:13" ht="15" x14ac:dyDescent="0.2">
      <c r="A268"/>
      <c r="B268"/>
      <c r="C268"/>
      <c r="D268"/>
      <c r="E268"/>
      <c r="F268"/>
      <c r="G268"/>
      <c r="H268"/>
      <c r="I268"/>
      <c r="J268"/>
      <c r="K268"/>
      <c r="L268"/>
      <c r="M268"/>
    </row>
    <row r="269" spans="1:13" ht="15" x14ac:dyDescent="0.2">
      <c r="A269"/>
      <c r="B269"/>
      <c r="C269"/>
      <c r="D269"/>
      <c r="E269"/>
      <c r="F269"/>
      <c r="G269"/>
      <c r="H269"/>
      <c r="I269"/>
      <c r="J269"/>
      <c r="K269"/>
      <c r="L269"/>
      <c r="M269"/>
    </row>
    <row r="270" spans="1:13" ht="15" x14ac:dyDescent="0.2">
      <c r="A270"/>
      <c r="B270"/>
      <c r="C270"/>
      <c r="D270"/>
      <c r="E270"/>
      <c r="F270"/>
      <c r="G270"/>
      <c r="H270"/>
      <c r="I270"/>
      <c r="J270"/>
      <c r="K270"/>
      <c r="L270"/>
      <c r="M270"/>
    </row>
    <row r="271" spans="1:13" ht="15" x14ac:dyDescent="0.2">
      <c r="A271"/>
      <c r="B271"/>
      <c r="C271"/>
      <c r="D271"/>
      <c r="E271"/>
      <c r="F271"/>
      <c r="G271"/>
      <c r="H271"/>
      <c r="I271"/>
      <c r="J271"/>
      <c r="K271"/>
      <c r="L271"/>
      <c r="M271"/>
    </row>
    <row r="272" spans="1:13" ht="15" x14ac:dyDescent="0.2">
      <c r="A272"/>
      <c r="B272"/>
      <c r="C272"/>
      <c r="D272"/>
      <c r="E272"/>
      <c r="F272"/>
      <c r="G272"/>
      <c r="H272"/>
      <c r="I272"/>
      <c r="J272"/>
      <c r="K272"/>
      <c r="L272"/>
      <c r="M272"/>
    </row>
    <row r="273" spans="1:13" ht="15" x14ac:dyDescent="0.2">
      <c r="A273"/>
      <c r="B273"/>
      <c r="C273"/>
      <c r="D273"/>
      <c r="E273"/>
      <c r="F273"/>
      <c r="G273"/>
      <c r="H273"/>
      <c r="I273"/>
      <c r="J273"/>
      <c r="K273"/>
      <c r="L273"/>
      <c r="M273"/>
    </row>
    <row r="274" spans="1:13" ht="15" x14ac:dyDescent="0.2">
      <c r="A274"/>
      <c r="B274"/>
      <c r="C274"/>
      <c r="D274"/>
      <c r="E274"/>
      <c r="F274"/>
      <c r="G274"/>
      <c r="H274"/>
      <c r="I274"/>
      <c r="J274"/>
      <c r="K274"/>
      <c r="L274"/>
      <c r="M274"/>
    </row>
    <row r="275" spans="1:13" ht="15" x14ac:dyDescent="0.2">
      <c r="A275"/>
      <c r="B275"/>
      <c r="C275"/>
      <c r="D275"/>
      <c r="E275"/>
      <c r="F275"/>
      <c r="G275"/>
      <c r="H275"/>
      <c r="I275"/>
      <c r="J275"/>
      <c r="K275"/>
      <c r="L275"/>
      <c r="M275"/>
    </row>
    <row r="276" spans="1:13" ht="15" x14ac:dyDescent="0.2">
      <c r="A276"/>
      <c r="B276"/>
      <c r="C276"/>
      <c r="D276"/>
      <c r="E276"/>
      <c r="F276"/>
      <c r="G276"/>
      <c r="H276"/>
      <c r="I276"/>
      <c r="J276"/>
      <c r="K276"/>
      <c r="L276"/>
      <c r="M276"/>
    </row>
    <row r="277" spans="1:13" ht="15" x14ac:dyDescent="0.2">
      <c r="A277"/>
      <c r="B277"/>
      <c r="C277"/>
      <c r="D277"/>
      <c r="E277"/>
      <c r="F277"/>
      <c r="G277"/>
      <c r="H277"/>
      <c r="I277"/>
      <c r="J277"/>
      <c r="K277"/>
      <c r="L277"/>
      <c r="M277"/>
    </row>
    <row r="278" spans="1:13" ht="15" x14ac:dyDescent="0.2">
      <c r="A278"/>
      <c r="B278"/>
      <c r="C278"/>
      <c r="D278"/>
      <c r="E278"/>
      <c r="F278"/>
      <c r="G278"/>
      <c r="H278"/>
      <c r="I278"/>
      <c r="J278"/>
      <c r="K278"/>
      <c r="L278"/>
      <c r="M278"/>
    </row>
    <row r="279" spans="1:13" ht="15" x14ac:dyDescent="0.2">
      <c r="A279"/>
      <c r="B279"/>
      <c r="C279"/>
      <c r="D279"/>
      <c r="E279"/>
      <c r="F279"/>
      <c r="G279"/>
      <c r="H279"/>
      <c r="I279"/>
      <c r="J279"/>
      <c r="K279"/>
      <c r="L279"/>
      <c r="M279"/>
    </row>
    <row r="280" spans="1:13" ht="15" x14ac:dyDescent="0.2">
      <c r="A280"/>
      <c r="B280"/>
      <c r="C280"/>
      <c r="D280"/>
      <c r="E280"/>
      <c r="F280"/>
      <c r="G280"/>
      <c r="H280"/>
      <c r="I280"/>
      <c r="J280"/>
      <c r="K280"/>
      <c r="L280"/>
      <c r="M280"/>
    </row>
    <row r="281" spans="1:13" ht="15" x14ac:dyDescent="0.2">
      <c r="A281"/>
      <c r="B281"/>
      <c r="C281"/>
      <c r="D281"/>
      <c r="E281"/>
      <c r="F281"/>
      <c r="G281"/>
      <c r="H281"/>
      <c r="I281"/>
      <c r="J281"/>
      <c r="K281"/>
      <c r="L281"/>
      <c r="M281"/>
    </row>
    <row r="282" spans="1:13" ht="15" x14ac:dyDescent="0.2">
      <c r="A282"/>
      <c r="B282"/>
      <c r="C282"/>
      <c r="D282"/>
      <c r="E282"/>
      <c r="F282"/>
      <c r="G282"/>
      <c r="H282"/>
      <c r="I282"/>
      <c r="J282"/>
      <c r="K282"/>
      <c r="L282"/>
      <c r="M282"/>
    </row>
    <row r="283" spans="1:13" ht="15" x14ac:dyDescent="0.2">
      <c r="A283"/>
      <c r="B283"/>
      <c r="C283"/>
      <c r="D283"/>
      <c r="E283"/>
      <c r="F283"/>
      <c r="G283"/>
      <c r="H283"/>
      <c r="I283"/>
      <c r="J283"/>
      <c r="K283"/>
      <c r="L283"/>
      <c r="M283"/>
    </row>
    <row r="284" spans="1:13" ht="15" x14ac:dyDescent="0.2">
      <c r="A284"/>
      <c r="B284"/>
      <c r="C284"/>
      <c r="D284"/>
      <c r="E284"/>
      <c r="F284"/>
      <c r="G284"/>
      <c r="H284"/>
      <c r="I284"/>
      <c r="J284"/>
      <c r="K284"/>
      <c r="L284"/>
      <c r="M284"/>
    </row>
    <row r="285" spans="1:13" ht="15" x14ac:dyDescent="0.2">
      <c r="A285"/>
      <c r="B285"/>
      <c r="C285"/>
      <c r="D285"/>
      <c r="E285"/>
      <c r="F285"/>
      <c r="G285"/>
      <c r="H285"/>
      <c r="I285"/>
      <c r="J285"/>
      <c r="K285"/>
      <c r="L285"/>
      <c r="M285"/>
    </row>
    <row r="286" spans="1:13" ht="15" x14ac:dyDescent="0.2">
      <c r="A286"/>
      <c r="B286"/>
      <c r="C286"/>
      <c r="D286"/>
      <c r="E286"/>
      <c r="F286"/>
      <c r="G286"/>
      <c r="H286"/>
      <c r="I286"/>
      <c r="J286"/>
      <c r="K286"/>
      <c r="L286"/>
      <c r="M286"/>
    </row>
    <row r="287" spans="1:13" ht="15" x14ac:dyDescent="0.2">
      <c r="A287"/>
      <c r="B287"/>
      <c r="C287"/>
      <c r="D287"/>
      <c r="E287"/>
      <c r="F287"/>
      <c r="G287"/>
      <c r="H287"/>
      <c r="I287"/>
      <c r="J287"/>
      <c r="K287"/>
      <c r="L287"/>
      <c r="M287"/>
    </row>
    <row r="288" spans="1:13" ht="15" x14ac:dyDescent="0.2">
      <c r="A288"/>
      <c r="B288"/>
      <c r="C288"/>
      <c r="D288"/>
      <c r="E288"/>
      <c r="F288"/>
      <c r="G288"/>
      <c r="H288"/>
      <c r="I288"/>
      <c r="J288"/>
      <c r="K288"/>
      <c r="L288"/>
      <c r="M288"/>
    </row>
    <row r="289" spans="1:13" ht="15" x14ac:dyDescent="0.2">
      <c r="A289"/>
      <c r="B289"/>
      <c r="C289"/>
      <c r="D289"/>
      <c r="E289"/>
      <c r="F289"/>
      <c r="G289"/>
      <c r="H289"/>
      <c r="I289"/>
      <c r="J289"/>
      <c r="K289"/>
      <c r="L289"/>
      <c r="M289"/>
    </row>
    <row r="290" spans="1:13" ht="15" x14ac:dyDescent="0.2">
      <c r="A290"/>
      <c r="B290"/>
      <c r="C290"/>
      <c r="D290"/>
      <c r="E290"/>
      <c r="F290"/>
      <c r="G290"/>
      <c r="H290"/>
      <c r="I290"/>
      <c r="J290"/>
      <c r="K290"/>
      <c r="L290"/>
      <c r="M290"/>
    </row>
    <row r="291" spans="1:13" ht="15" x14ac:dyDescent="0.2">
      <c r="A291"/>
      <c r="B291"/>
      <c r="C291"/>
      <c r="D291"/>
      <c r="E291"/>
      <c r="F291"/>
      <c r="G291"/>
      <c r="H291"/>
      <c r="I291"/>
      <c r="J291"/>
      <c r="K291"/>
      <c r="L291"/>
      <c r="M291"/>
    </row>
    <row r="292" spans="1:13" ht="15" x14ac:dyDescent="0.2">
      <c r="A292"/>
      <c r="B292"/>
      <c r="C292"/>
      <c r="D292"/>
      <c r="E292"/>
      <c r="F292"/>
      <c r="G292"/>
      <c r="H292"/>
      <c r="I292"/>
      <c r="J292"/>
      <c r="K292"/>
      <c r="L292"/>
      <c r="M292"/>
    </row>
    <row r="293" spans="1:13" ht="15" x14ac:dyDescent="0.2">
      <c r="A293"/>
      <c r="B293"/>
      <c r="C293"/>
      <c r="D293"/>
      <c r="E293"/>
      <c r="F293"/>
      <c r="G293"/>
      <c r="H293"/>
      <c r="I293"/>
      <c r="J293"/>
      <c r="K293"/>
      <c r="L293"/>
      <c r="M293"/>
    </row>
    <row r="294" spans="1:13" ht="15" x14ac:dyDescent="0.2">
      <c r="A294"/>
      <c r="B294"/>
      <c r="C294"/>
      <c r="D294"/>
      <c r="E294"/>
      <c r="F294"/>
      <c r="G294"/>
      <c r="H294"/>
      <c r="I294"/>
      <c r="J294"/>
      <c r="K294"/>
      <c r="L294"/>
      <c r="M294"/>
    </row>
    <row r="295" spans="1:13" ht="15" x14ac:dyDescent="0.2">
      <c r="A295"/>
      <c r="B295"/>
      <c r="C295"/>
      <c r="D295"/>
      <c r="E295"/>
      <c r="F295"/>
      <c r="G295"/>
      <c r="H295"/>
      <c r="I295"/>
      <c r="J295"/>
      <c r="K295"/>
      <c r="L295"/>
      <c r="M295"/>
    </row>
    <row r="296" spans="1:13" ht="15" x14ac:dyDescent="0.2">
      <c r="A296"/>
      <c r="B296"/>
      <c r="C296"/>
      <c r="D296"/>
      <c r="E296"/>
      <c r="F296"/>
      <c r="G296"/>
      <c r="H296"/>
      <c r="I296"/>
      <c r="J296"/>
      <c r="K296"/>
      <c r="L296"/>
      <c r="M296"/>
    </row>
    <row r="297" spans="1:13" ht="15" x14ac:dyDescent="0.2">
      <c r="A297"/>
      <c r="B297"/>
      <c r="C297"/>
      <c r="D297"/>
      <c r="E297"/>
      <c r="F297"/>
      <c r="G297"/>
      <c r="H297"/>
      <c r="I297"/>
      <c r="J297"/>
      <c r="K297"/>
      <c r="L297"/>
      <c r="M297"/>
    </row>
    <row r="298" spans="1:13" ht="15" x14ac:dyDescent="0.2">
      <c r="A298"/>
      <c r="B298"/>
      <c r="C298"/>
      <c r="D298"/>
      <c r="E298"/>
      <c r="F298"/>
      <c r="G298"/>
      <c r="H298"/>
      <c r="I298"/>
      <c r="J298"/>
      <c r="K298"/>
      <c r="L298"/>
      <c r="M298"/>
    </row>
    <row r="299" spans="1:13" ht="15" x14ac:dyDescent="0.2">
      <c r="A299"/>
      <c r="B299"/>
      <c r="C299"/>
      <c r="D299"/>
      <c r="E299"/>
      <c r="F299"/>
      <c r="G299"/>
      <c r="H299"/>
      <c r="I299"/>
      <c r="J299"/>
      <c r="K299"/>
      <c r="L299"/>
      <c r="M299"/>
    </row>
    <row r="300" spans="1:13" ht="15" x14ac:dyDescent="0.2">
      <c r="A300"/>
      <c r="B300"/>
      <c r="C300"/>
      <c r="D300"/>
      <c r="E300"/>
      <c r="F300"/>
      <c r="G300"/>
      <c r="H300"/>
      <c r="I300"/>
      <c r="J300"/>
      <c r="K300"/>
      <c r="L300"/>
      <c r="M300"/>
    </row>
    <row r="301" spans="1:13" ht="15" x14ac:dyDescent="0.2">
      <c r="A301"/>
      <c r="B301"/>
      <c r="C301"/>
      <c r="D301"/>
      <c r="E301"/>
      <c r="F301"/>
      <c r="G301"/>
      <c r="H301"/>
      <c r="I301"/>
      <c r="J301"/>
      <c r="K301"/>
      <c r="L301"/>
      <c r="M301"/>
    </row>
    <row r="302" spans="1:13" ht="15" x14ac:dyDescent="0.2">
      <c r="A302"/>
      <c r="B302"/>
      <c r="C302"/>
      <c r="D302"/>
      <c r="E302"/>
      <c r="F302"/>
      <c r="G302"/>
      <c r="H302"/>
      <c r="I302"/>
      <c r="J302"/>
      <c r="K302"/>
      <c r="L302"/>
      <c r="M302"/>
    </row>
    <row r="303" spans="1:13" ht="15" x14ac:dyDescent="0.2">
      <c r="A303"/>
      <c r="B303"/>
      <c r="C303"/>
      <c r="D303"/>
      <c r="E303"/>
      <c r="F303"/>
      <c r="G303"/>
      <c r="H303"/>
      <c r="I303"/>
      <c r="J303"/>
      <c r="K303"/>
      <c r="L303"/>
      <c r="M303"/>
    </row>
    <row r="304" spans="1:13" ht="15" x14ac:dyDescent="0.2">
      <c r="A304"/>
      <c r="B304"/>
      <c r="C304"/>
      <c r="D304"/>
      <c r="E304"/>
      <c r="F304"/>
      <c r="G304"/>
      <c r="H304"/>
      <c r="I304"/>
      <c r="J304"/>
      <c r="K304"/>
      <c r="L304"/>
      <c r="M304"/>
    </row>
    <row r="305" spans="1:13" ht="15" x14ac:dyDescent="0.2">
      <c r="A305"/>
      <c r="B305"/>
      <c r="C305"/>
      <c r="D305"/>
      <c r="E305"/>
      <c r="F305"/>
      <c r="G305"/>
      <c r="H305"/>
      <c r="I305"/>
      <c r="J305"/>
      <c r="K305"/>
      <c r="L305"/>
      <c r="M305"/>
    </row>
    <row r="306" spans="1:13" ht="15" x14ac:dyDescent="0.2">
      <c r="A306"/>
      <c r="B306"/>
      <c r="C306"/>
      <c r="D306"/>
      <c r="E306"/>
      <c r="F306"/>
      <c r="G306"/>
      <c r="H306"/>
      <c r="I306"/>
      <c r="J306"/>
      <c r="K306"/>
      <c r="L306"/>
      <c r="M306"/>
    </row>
    <row r="307" spans="1:13" ht="15" x14ac:dyDescent="0.2">
      <c r="A307"/>
      <c r="B307"/>
      <c r="C307"/>
      <c r="D307"/>
      <c r="E307"/>
      <c r="F307"/>
      <c r="G307"/>
      <c r="H307"/>
      <c r="I307"/>
      <c r="J307"/>
      <c r="K307"/>
      <c r="L307"/>
      <c r="M307"/>
    </row>
    <row r="308" spans="1:13" ht="15" x14ac:dyDescent="0.2">
      <c r="A308"/>
      <c r="B308"/>
      <c r="C308"/>
      <c r="D308"/>
      <c r="E308"/>
      <c r="F308"/>
      <c r="G308"/>
      <c r="H308"/>
      <c r="I308"/>
      <c r="J308"/>
      <c r="K308"/>
      <c r="L308"/>
      <c r="M308"/>
    </row>
    <row r="309" spans="1:13" ht="15" x14ac:dyDescent="0.2">
      <c r="A309"/>
      <c r="B309"/>
      <c r="C309"/>
      <c r="D309"/>
      <c r="E309"/>
      <c r="F309"/>
      <c r="G309"/>
      <c r="H309"/>
      <c r="I309"/>
      <c r="J309"/>
      <c r="K309"/>
      <c r="L309"/>
      <c r="M309"/>
    </row>
    <row r="310" spans="1:13" ht="15" x14ac:dyDescent="0.2">
      <c r="A310"/>
      <c r="B310"/>
      <c r="C310"/>
      <c r="D310"/>
      <c r="E310"/>
      <c r="F310"/>
      <c r="G310"/>
      <c r="H310"/>
      <c r="I310"/>
      <c r="J310"/>
      <c r="K310"/>
      <c r="L310"/>
      <c r="M310"/>
    </row>
    <row r="311" spans="1:13" ht="15" x14ac:dyDescent="0.2">
      <c r="A311"/>
      <c r="B311"/>
      <c r="C311"/>
      <c r="D311"/>
      <c r="E311"/>
      <c r="F311"/>
      <c r="G311"/>
      <c r="H311"/>
      <c r="I311"/>
      <c r="J311"/>
      <c r="K311"/>
      <c r="L311"/>
      <c r="M311"/>
    </row>
    <row r="312" spans="1:13" ht="15" x14ac:dyDescent="0.2">
      <c r="A312"/>
      <c r="B312"/>
      <c r="C312"/>
      <c r="D312"/>
      <c r="E312"/>
      <c r="F312"/>
      <c r="G312"/>
      <c r="H312"/>
      <c r="I312"/>
      <c r="J312"/>
      <c r="K312"/>
      <c r="L312"/>
      <c r="M312"/>
    </row>
    <row r="313" spans="1:13" ht="15" x14ac:dyDescent="0.2">
      <c r="A313"/>
      <c r="B313"/>
      <c r="C313"/>
      <c r="D313"/>
      <c r="E313"/>
      <c r="F313"/>
      <c r="G313"/>
      <c r="H313"/>
      <c r="I313"/>
      <c r="J313"/>
      <c r="K313"/>
      <c r="L313"/>
      <c r="M313"/>
    </row>
    <row r="314" spans="1:13" ht="15" x14ac:dyDescent="0.2">
      <c r="A314"/>
      <c r="B314"/>
      <c r="C314"/>
      <c r="D314"/>
      <c r="E314"/>
      <c r="F314"/>
      <c r="G314"/>
      <c r="H314"/>
      <c r="I314"/>
      <c r="J314"/>
      <c r="K314"/>
      <c r="L314"/>
      <c r="M314"/>
    </row>
    <row r="315" spans="1:13" ht="15" x14ac:dyDescent="0.2">
      <c r="A315"/>
      <c r="B315"/>
      <c r="C315"/>
      <c r="D315"/>
      <c r="E315"/>
      <c r="F315"/>
      <c r="G315"/>
      <c r="H315"/>
      <c r="I315"/>
      <c r="J315"/>
      <c r="K315"/>
      <c r="L315"/>
      <c r="M315"/>
    </row>
    <row r="316" spans="1:13" ht="15" x14ac:dyDescent="0.2">
      <c r="A316"/>
      <c r="B316"/>
      <c r="C316"/>
      <c r="D316"/>
      <c r="E316"/>
      <c r="F316"/>
      <c r="G316"/>
      <c r="H316"/>
      <c r="I316"/>
      <c r="J316"/>
      <c r="K316"/>
      <c r="L316"/>
      <c r="M316"/>
    </row>
    <row r="317" spans="1:13" ht="15" x14ac:dyDescent="0.2">
      <c r="A317"/>
      <c r="B317"/>
      <c r="C317"/>
      <c r="D317"/>
      <c r="E317"/>
      <c r="F317"/>
      <c r="G317"/>
      <c r="H317"/>
      <c r="I317"/>
      <c r="J317"/>
      <c r="K317"/>
      <c r="L317"/>
      <c r="M317"/>
    </row>
    <row r="318" spans="1:13" ht="15" x14ac:dyDescent="0.2">
      <c r="A318"/>
      <c r="B318"/>
      <c r="C318"/>
      <c r="D318"/>
      <c r="E318"/>
      <c r="F318"/>
      <c r="G318"/>
      <c r="H318"/>
      <c r="I318"/>
      <c r="J318"/>
      <c r="K318"/>
      <c r="L318"/>
      <c r="M318"/>
    </row>
    <row r="319" spans="1:13" ht="15" x14ac:dyDescent="0.2">
      <c r="A319"/>
      <c r="B319"/>
      <c r="C319"/>
      <c r="D319"/>
      <c r="E319"/>
      <c r="F319"/>
      <c r="G319"/>
      <c r="H319"/>
      <c r="I319"/>
      <c r="J319"/>
      <c r="K319"/>
      <c r="L319"/>
      <c r="M319"/>
    </row>
    <row r="320" spans="1:13" ht="15" x14ac:dyDescent="0.2">
      <c r="A320"/>
      <c r="B320"/>
      <c r="C320"/>
      <c r="D320"/>
      <c r="E320"/>
      <c r="F320"/>
      <c r="G320"/>
      <c r="H320"/>
      <c r="I320"/>
      <c r="J320"/>
      <c r="K320"/>
      <c r="L320"/>
      <c r="M320"/>
    </row>
    <row r="321" spans="1:13" ht="15" x14ac:dyDescent="0.2">
      <c r="A321"/>
      <c r="B321"/>
      <c r="C321"/>
      <c r="D321"/>
      <c r="E321"/>
      <c r="F321"/>
      <c r="G321"/>
      <c r="H321"/>
      <c r="I321"/>
      <c r="J321"/>
      <c r="K321"/>
      <c r="L321"/>
      <c r="M321"/>
    </row>
    <row r="322" spans="1:13" ht="15" x14ac:dyDescent="0.2">
      <c r="A322"/>
      <c r="B322"/>
      <c r="C322"/>
      <c r="D322"/>
      <c r="E322"/>
      <c r="F322"/>
      <c r="G322"/>
      <c r="H322"/>
      <c r="I322"/>
      <c r="J322"/>
      <c r="K322"/>
      <c r="L322"/>
      <c r="M322"/>
    </row>
    <row r="323" spans="1:13" ht="15" x14ac:dyDescent="0.2">
      <c r="A323"/>
      <c r="B323"/>
      <c r="C323"/>
      <c r="D323"/>
      <c r="E323"/>
      <c r="F323"/>
      <c r="G323"/>
      <c r="H323"/>
      <c r="I323"/>
      <c r="J323"/>
      <c r="K323"/>
      <c r="L323"/>
      <c r="M323"/>
    </row>
    <row r="324" spans="1:13" ht="15" x14ac:dyDescent="0.2">
      <c r="A324"/>
      <c r="B324"/>
      <c r="C324"/>
      <c r="D324"/>
      <c r="E324"/>
      <c r="F324"/>
      <c r="G324"/>
      <c r="H324"/>
      <c r="I324"/>
      <c r="J324"/>
      <c r="K324"/>
      <c r="L324"/>
      <c r="M324"/>
    </row>
    <row r="325" spans="1:13" ht="15" x14ac:dyDescent="0.2">
      <c r="A325"/>
      <c r="B325"/>
      <c r="C325"/>
      <c r="D325"/>
      <c r="E325"/>
      <c r="F325"/>
      <c r="G325"/>
      <c r="H325"/>
      <c r="I325"/>
      <c r="J325"/>
      <c r="K325"/>
      <c r="L325"/>
      <c r="M325"/>
    </row>
    <row r="326" spans="1:13" ht="15" x14ac:dyDescent="0.2">
      <c r="A326"/>
      <c r="B326"/>
      <c r="C326"/>
      <c r="D326"/>
      <c r="E326"/>
      <c r="F326"/>
      <c r="G326"/>
      <c r="H326"/>
      <c r="I326"/>
      <c r="J326"/>
      <c r="K326"/>
      <c r="L326"/>
      <c r="M326"/>
    </row>
    <row r="327" spans="1:13" ht="15" x14ac:dyDescent="0.2">
      <c r="A327"/>
      <c r="B327"/>
      <c r="C327"/>
      <c r="D327"/>
      <c r="E327"/>
      <c r="F327"/>
      <c r="G327"/>
      <c r="H327"/>
      <c r="I327"/>
      <c r="J327"/>
      <c r="K327"/>
      <c r="L327"/>
      <c r="M327"/>
    </row>
    <row r="328" spans="1:13" ht="15" x14ac:dyDescent="0.2">
      <c r="A328"/>
      <c r="B328"/>
      <c r="C328"/>
      <c r="D328"/>
      <c r="E328"/>
      <c r="F328"/>
      <c r="G328"/>
      <c r="H328"/>
      <c r="I328"/>
      <c r="J328"/>
      <c r="K328"/>
      <c r="L328"/>
      <c r="M328"/>
    </row>
    <row r="329" spans="1:13" ht="15" x14ac:dyDescent="0.2">
      <c r="A329"/>
      <c r="B329"/>
      <c r="C329"/>
      <c r="D329"/>
      <c r="E329"/>
      <c r="F329"/>
      <c r="G329"/>
      <c r="H329"/>
      <c r="I329"/>
      <c r="J329"/>
      <c r="K329"/>
      <c r="L329"/>
      <c r="M329"/>
    </row>
    <row r="330" spans="1:13" ht="15" x14ac:dyDescent="0.2">
      <c r="A330"/>
      <c r="B330"/>
      <c r="C330"/>
      <c r="D330"/>
      <c r="E330"/>
      <c r="F330"/>
      <c r="G330"/>
      <c r="H330"/>
      <c r="I330"/>
      <c r="J330"/>
      <c r="K330"/>
      <c r="L330"/>
      <c r="M330"/>
    </row>
    <row r="331" spans="1:13" ht="15" x14ac:dyDescent="0.2">
      <c r="A331"/>
      <c r="B331"/>
      <c r="C331"/>
      <c r="D331"/>
      <c r="E331"/>
      <c r="F331"/>
      <c r="G331"/>
      <c r="H331"/>
      <c r="I331"/>
      <c r="J331"/>
      <c r="K331"/>
      <c r="L331"/>
      <c r="M331"/>
    </row>
    <row r="332" spans="1:13" ht="15" x14ac:dyDescent="0.2">
      <c r="A332"/>
      <c r="B332"/>
      <c r="C332"/>
      <c r="D332"/>
      <c r="E332"/>
      <c r="F332"/>
      <c r="G332"/>
      <c r="H332"/>
      <c r="I332"/>
      <c r="J332"/>
      <c r="K332"/>
      <c r="L332"/>
      <c r="M332"/>
    </row>
    <row r="333" spans="1:13" ht="15" x14ac:dyDescent="0.2">
      <c r="A333"/>
      <c r="B333"/>
      <c r="C333"/>
      <c r="D333"/>
      <c r="E333"/>
      <c r="F333"/>
      <c r="G333"/>
      <c r="H333"/>
      <c r="I333"/>
      <c r="J333"/>
      <c r="K333"/>
      <c r="L333"/>
      <c r="M333"/>
    </row>
    <row r="334" spans="1:13" ht="15" x14ac:dyDescent="0.2">
      <c r="A334"/>
      <c r="B334"/>
      <c r="C334"/>
      <c r="D334"/>
      <c r="E334"/>
      <c r="F334"/>
      <c r="G334"/>
      <c r="H334"/>
      <c r="I334"/>
      <c r="J334"/>
      <c r="K334"/>
      <c r="L334"/>
      <c r="M334"/>
    </row>
    <row r="335" spans="1:13" ht="15" x14ac:dyDescent="0.2">
      <c r="A335"/>
      <c r="B335"/>
      <c r="C335"/>
      <c r="D335"/>
      <c r="E335"/>
      <c r="F335"/>
      <c r="G335"/>
      <c r="H335"/>
      <c r="I335"/>
      <c r="J335"/>
      <c r="K335"/>
      <c r="L335"/>
      <c r="M335"/>
    </row>
    <row r="336" spans="1:13" ht="15" x14ac:dyDescent="0.2">
      <c r="A336"/>
      <c r="B336"/>
      <c r="C336"/>
      <c r="D336"/>
      <c r="E336"/>
      <c r="F336"/>
      <c r="G336"/>
      <c r="H336"/>
      <c r="I336"/>
      <c r="J336"/>
      <c r="K336"/>
      <c r="L336"/>
      <c r="M336"/>
    </row>
    <row r="337" spans="1:13" ht="15" x14ac:dyDescent="0.2">
      <c r="A337"/>
      <c r="B337"/>
      <c r="C337"/>
      <c r="D337"/>
      <c r="E337"/>
      <c r="F337"/>
      <c r="G337"/>
      <c r="H337"/>
      <c r="I337"/>
      <c r="J337"/>
      <c r="K337"/>
      <c r="L337"/>
      <c r="M337"/>
    </row>
    <row r="338" spans="1:13" ht="15" x14ac:dyDescent="0.2">
      <c r="A338"/>
      <c r="B338"/>
      <c r="C338"/>
      <c r="D338"/>
      <c r="E338"/>
      <c r="F338"/>
      <c r="G338"/>
      <c r="H338"/>
      <c r="I338"/>
      <c r="J338"/>
      <c r="K338"/>
      <c r="L338"/>
      <c r="M338"/>
    </row>
    <row r="339" spans="1:13" ht="15" x14ac:dyDescent="0.2">
      <c r="A339"/>
      <c r="B339"/>
      <c r="C339"/>
      <c r="D339"/>
      <c r="E339"/>
      <c r="F339"/>
      <c r="G339"/>
      <c r="H339"/>
      <c r="I339"/>
      <c r="J339"/>
      <c r="K339"/>
      <c r="L339"/>
      <c r="M339"/>
    </row>
    <row r="340" spans="1:13" ht="15" x14ac:dyDescent="0.2">
      <c r="A340"/>
      <c r="B340"/>
      <c r="C340"/>
      <c r="D340"/>
      <c r="E340"/>
      <c r="F340"/>
      <c r="G340"/>
      <c r="H340"/>
      <c r="I340"/>
      <c r="J340"/>
      <c r="K340"/>
      <c r="L340"/>
      <c r="M340"/>
    </row>
    <row r="341" spans="1:13" ht="15" x14ac:dyDescent="0.2">
      <c r="A341"/>
      <c r="B341"/>
      <c r="C341"/>
      <c r="D341"/>
      <c r="E341"/>
      <c r="F341"/>
      <c r="G341"/>
      <c r="H341"/>
      <c r="I341"/>
      <c r="J341"/>
      <c r="K341"/>
      <c r="L341"/>
      <c r="M341"/>
    </row>
    <row r="342" spans="1:13" ht="15" x14ac:dyDescent="0.2">
      <c r="A342"/>
      <c r="B342"/>
      <c r="C342"/>
      <c r="D342"/>
      <c r="E342"/>
      <c r="F342"/>
      <c r="G342"/>
      <c r="H342"/>
      <c r="I342"/>
      <c r="J342"/>
      <c r="K342"/>
      <c r="L342"/>
      <c r="M342"/>
    </row>
    <row r="343" spans="1:13" ht="15" x14ac:dyDescent="0.2">
      <c r="A343"/>
      <c r="B343"/>
      <c r="C343"/>
      <c r="D343"/>
      <c r="E343"/>
      <c r="F343"/>
      <c r="G343"/>
      <c r="H343"/>
      <c r="I343"/>
      <c r="J343"/>
      <c r="K343"/>
      <c r="L343"/>
      <c r="M343"/>
    </row>
    <row r="344" spans="1:13" ht="15" x14ac:dyDescent="0.2">
      <c r="A344"/>
      <c r="B344"/>
      <c r="C344"/>
      <c r="D344"/>
      <c r="E344"/>
      <c r="F344"/>
      <c r="G344"/>
      <c r="H344"/>
      <c r="I344"/>
      <c r="J344"/>
      <c r="K344"/>
      <c r="L344"/>
      <c r="M344"/>
    </row>
    <row r="345" spans="1:13" ht="15" x14ac:dyDescent="0.2">
      <c r="A345"/>
      <c r="B345"/>
      <c r="C345"/>
      <c r="D345"/>
      <c r="E345"/>
      <c r="F345"/>
      <c r="G345"/>
      <c r="H345"/>
      <c r="I345"/>
      <c r="J345"/>
      <c r="K345"/>
      <c r="L345"/>
      <c r="M345"/>
    </row>
    <row r="346" spans="1:13" ht="15" x14ac:dyDescent="0.2">
      <c r="A346"/>
      <c r="B346"/>
      <c r="C346"/>
      <c r="D346"/>
      <c r="E346"/>
      <c r="F346"/>
      <c r="G346"/>
      <c r="H346"/>
      <c r="I346"/>
      <c r="J346"/>
      <c r="K346"/>
      <c r="L346"/>
      <c r="M346"/>
    </row>
    <row r="347" spans="1:13" ht="15" x14ac:dyDescent="0.2">
      <c r="A347"/>
      <c r="B347"/>
      <c r="C347"/>
      <c r="D347"/>
      <c r="E347"/>
      <c r="F347"/>
      <c r="G347"/>
      <c r="H347"/>
      <c r="I347"/>
      <c r="J347"/>
      <c r="K347"/>
      <c r="L347"/>
      <c r="M347"/>
    </row>
    <row r="348" spans="1:13" ht="15" x14ac:dyDescent="0.2">
      <c r="A348"/>
      <c r="B348"/>
      <c r="C348"/>
      <c r="D348"/>
      <c r="E348"/>
      <c r="F348"/>
      <c r="G348"/>
      <c r="H348"/>
      <c r="I348"/>
      <c r="J348"/>
      <c r="K348"/>
      <c r="L348"/>
      <c r="M348"/>
    </row>
    <row r="349" spans="1:13" ht="15" x14ac:dyDescent="0.2">
      <c r="A349"/>
      <c r="B349"/>
      <c r="C349"/>
      <c r="D349"/>
      <c r="E349"/>
      <c r="F349"/>
      <c r="G349"/>
      <c r="H349"/>
      <c r="I349"/>
      <c r="J349"/>
      <c r="K349"/>
      <c r="L349"/>
      <c r="M349"/>
    </row>
    <row r="350" spans="1:13" ht="15" x14ac:dyDescent="0.2">
      <c r="A350"/>
      <c r="B350"/>
      <c r="C350"/>
      <c r="D350"/>
      <c r="E350"/>
      <c r="F350"/>
      <c r="G350"/>
      <c r="H350"/>
      <c r="I350"/>
      <c r="J350"/>
      <c r="K350"/>
      <c r="L350"/>
      <c r="M350"/>
    </row>
    <row r="351" spans="1:13" ht="15" x14ac:dyDescent="0.2">
      <c r="A351"/>
      <c r="B351"/>
      <c r="C351"/>
      <c r="D351"/>
      <c r="E351"/>
      <c r="F351"/>
      <c r="G351"/>
      <c r="H351"/>
      <c r="I351"/>
      <c r="J351"/>
      <c r="K351"/>
      <c r="L351"/>
      <c r="M351"/>
    </row>
    <row r="352" spans="1:13" ht="15" x14ac:dyDescent="0.2">
      <c r="A352"/>
      <c r="B352"/>
      <c r="C352"/>
      <c r="D352"/>
      <c r="E352"/>
      <c r="F352"/>
      <c r="G352"/>
      <c r="H352"/>
      <c r="I352"/>
      <c r="J352"/>
      <c r="K352"/>
      <c r="L352"/>
      <c r="M352"/>
    </row>
    <row r="353" spans="1:13" ht="15" x14ac:dyDescent="0.2">
      <c r="A353"/>
      <c r="B353"/>
      <c r="C353"/>
      <c r="D353"/>
      <c r="E353"/>
      <c r="F353"/>
      <c r="G353"/>
      <c r="H353"/>
      <c r="I353"/>
      <c r="J353"/>
      <c r="K353"/>
      <c r="L353"/>
      <c r="M353"/>
    </row>
    <row r="354" spans="1:13" ht="15" x14ac:dyDescent="0.2">
      <c r="A354"/>
      <c r="B354"/>
      <c r="C354"/>
      <c r="D354"/>
      <c r="E354"/>
      <c r="F354"/>
      <c r="G354"/>
      <c r="H354"/>
      <c r="I354"/>
      <c r="J354"/>
      <c r="K354"/>
      <c r="L354"/>
      <c r="M354"/>
    </row>
    <row r="355" spans="1:13" ht="15" x14ac:dyDescent="0.2">
      <c r="A355"/>
      <c r="B355"/>
      <c r="C355"/>
      <c r="D355"/>
      <c r="E355"/>
      <c r="F355"/>
      <c r="G355"/>
      <c r="H355"/>
      <c r="I355"/>
      <c r="J355"/>
      <c r="K355"/>
      <c r="L355"/>
      <c r="M355"/>
    </row>
    <row r="356" spans="1:13" ht="15" x14ac:dyDescent="0.2">
      <c r="A356"/>
      <c r="B356"/>
      <c r="C356"/>
      <c r="D356"/>
      <c r="E356"/>
      <c r="F356"/>
      <c r="G356"/>
      <c r="H356"/>
      <c r="I356"/>
      <c r="J356"/>
      <c r="K356"/>
      <c r="L356"/>
      <c r="M356"/>
    </row>
    <row r="357" spans="1:13" ht="15" x14ac:dyDescent="0.2">
      <c r="A357"/>
      <c r="B357"/>
      <c r="C357"/>
      <c r="D357"/>
      <c r="E357"/>
      <c r="F357"/>
      <c r="G357"/>
      <c r="H357"/>
      <c r="I357"/>
      <c r="J357"/>
      <c r="K357"/>
      <c r="L357"/>
      <c r="M357"/>
    </row>
    <row r="358" spans="1:13" ht="15" x14ac:dyDescent="0.2">
      <c r="A358"/>
      <c r="B358"/>
      <c r="C358"/>
      <c r="D358"/>
      <c r="E358"/>
      <c r="F358"/>
      <c r="G358"/>
      <c r="H358"/>
      <c r="I358"/>
      <c r="J358"/>
      <c r="K358"/>
      <c r="L358"/>
      <c r="M358"/>
    </row>
    <row r="359" spans="1:13" ht="15" x14ac:dyDescent="0.2">
      <c r="A359"/>
      <c r="B359"/>
      <c r="C359"/>
      <c r="D359"/>
      <c r="E359"/>
      <c r="F359"/>
      <c r="G359"/>
      <c r="H359"/>
      <c r="I359"/>
      <c r="J359"/>
      <c r="K359"/>
      <c r="L359"/>
      <c r="M359"/>
    </row>
    <row r="360" spans="1:13" ht="15" x14ac:dyDescent="0.2">
      <c r="A360"/>
      <c r="B360"/>
      <c r="C360"/>
      <c r="D360"/>
      <c r="E360"/>
      <c r="F360"/>
      <c r="G360"/>
      <c r="H360"/>
      <c r="I360"/>
      <c r="J360"/>
      <c r="K360"/>
      <c r="L360"/>
      <c r="M360"/>
    </row>
    <row r="361" spans="1:13" ht="15" x14ac:dyDescent="0.2">
      <c r="A361"/>
      <c r="B361"/>
      <c r="C361"/>
      <c r="D361"/>
      <c r="E361"/>
      <c r="F361"/>
      <c r="G361"/>
      <c r="H361"/>
      <c r="I361"/>
      <c r="J361"/>
      <c r="K361"/>
      <c r="L361"/>
      <c r="M361"/>
    </row>
    <row r="362" spans="1:13" ht="15" x14ac:dyDescent="0.2">
      <c r="A362"/>
      <c r="B362"/>
      <c r="C362"/>
      <c r="D362"/>
      <c r="E362"/>
      <c r="F362"/>
      <c r="G362"/>
      <c r="H362"/>
      <c r="I362"/>
      <c r="J362"/>
      <c r="K362"/>
      <c r="L362"/>
      <c r="M362"/>
    </row>
    <row r="363" spans="1:13" ht="15" x14ac:dyDescent="0.2">
      <c r="A363"/>
      <c r="B363"/>
      <c r="C363"/>
      <c r="D363"/>
      <c r="E363"/>
      <c r="F363"/>
      <c r="G363"/>
      <c r="H363"/>
      <c r="I363"/>
      <c r="J363"/>
      <c r="K363"/>
      <c r="L363"/>
      <c r="M363"/>
    </row>
    <row r="364" spans="1:13" ht="15" x14ac:dyDescent="0.2">
      <c r="A364"/>
      <c r="B364"/>
      <c r="C364"/>
      <c r="D364"/>
      <c r="E364"/>
      <c r="F364"/>
      <c r="G364"/>
      <c r="H364"/>
      <c r="I364"/>
      <c r="J364"/>
      <c r="K364"/>
      <c r="L364"/>
      <c r="M364"/>
    </row>
    <row r="365" spans="1:13" ht="15" x14ac:dyDescent="0.2">
      <c r="A365"/>
      <c r="B365"/>
      <c r="C365"/>
      <c r="D365"/>
      <c r="E365"/>
      <c r="F365"/>
      <c r="G365"/>
      <c r="H365"/>
      <c r="I365"/>
      <c r="J365"/>
      <c r="K365"/>
      <c r="L365"/>
      <c r="M365"/>
    </row>
    <row r="366" spans="1:13" ht="15" x14ac:dyDescent="0.2">
      <c r="A366"/>
      <c r="B366"/>
      <c r="C366"/>
      <c r="D366"/>
      <c r="E366"/>
      <c r="F366"/>
      <c r="G366"/>
      <c r="H366"/>
      <c r="I366"/>
      <c r="J366"/>
      <c r="K366"/>
      <c r="L366"/>
      <c r="M366"/>
    </row>
    <row r="367" spans="1:13" ht="15" x14ac:dyDescent="0.2">
      <c r="A367"/>
      <c r="B367"/>
      <c r="C367"/>
      <c r="D367"/>
      <c r="E367"/>
      <c r="F367"/>
      <c r="G367"/>
      <c r="H367"/>
      <c r="I367"/>
      <c r="J367"/>
      <c r="K367"/>
      <c r="L367"/>
      <c r="M367"/>
    </row>
    <row r="368" spans="1:13" ht="15" x14ac:dyDescent="0.2">
      <c r="A368"/>
      <c r="B368"/>
      <c r="C368"/>
      <c r="D368"/>
      <c r="E368"/>
      <c r="F368"/>
      <c r="G368"/>
      <c r="H368"/>
      <c r="I368"/>
      <c r="J368"/>
      <c r="K368"/>
      <c r="L368"/>
      <c r="M368"/>
    </row>
    <row r="369" spans="1:13" ht="15" x14ac:dyDescent="0.2">
      <c r="A369"/>
      <c r="B369"/>
      <c r="C369"/>
      <c r="D369"/>
      <c r="E369"/>
      <c r="F369"/>
      <c r="G369"/>
      <c r="H369"/>
      <c r="I369"/>
      <c r="J369"/>
      <c r="K369"/>
      <c r="L369"/>
      <c r="M369"/>
    </row>
    <row r="370" spans="1:13" ht="15" x14ac:dyDescent="0.2">
      <c r="A370"/>
      <c r="B370"/>
      <c r="C370"/>
      <c r="D370"/>
      <c r="E370"/>
      <c r="F370"/>
      <c r="G370"/>
      <c r="H370"/>
      <c r="I370"/>
      <c r="J370"/>
      <c r="K370"/>
      <c r="L370"/>
      <c r="M370"/>
    </row>
    <row r="371" spans="1:13" ht="15" x14ac:dyDescent="0.2">
      <c r="A371"/>
      <c r="B371"/>
      <c r="C371"/>
      <c r="D371"/>
      <c r="E371"/>
      <c r="F371"/>
      <c r="G371"/>
      <c r="H371"/>
      <c r="I371"/>
      <c r="J371"/>
      <c r="K371"/>
      <c r="L371"/>
      <c r="M371"/>
    </row>
    <row r="372" spans="1:13" ht="15" x14ac:dyDescent="0.2">
      <c r="A372"/>
      <c r="B372"/>
      <c r="C372"/>
      <c r="D372"/>
      <c r="E372"/>
      <c r="F372"/>
      <c r="G372"/>
      <c r="H372"/>
      <c r="I372"/>
      <c r="J372"/>
      <c r="K372"/>
      <c r="L372"/>
      <c r="M372"/>
    </row>
    <row r="373" spans="1:13" ht="15" x14ac:dyDescent="0.2">
      <c r="A373"/>
      <c r="B373"/>
      <c r="C373"/>
      <c r="D373"/>
      <c r="E373"/>
      <c r="F373"/>
      <c r="G373"/>
      <c r="H373"/>
      <c r="I373"/>
      <c r="J373"/>
      <c r="K373"/>
      <c r="L373"/>
      <c r="M373"/>
    </row>
    <row r="374" spans="1:13" ht="15" x14ac:dyDescent="0.2">
      <c r="A374"/>
      <c r="B374"/>
      <c r="C374"/>
      <c r="D374"/>
      <c r="E374"/>
      <c r="F374"/>
      <c r="G374"/>
      <c r="H374"/>
      <c r="I374"/>
      <c r="J374"/>
      <c r="K374"/>
      <c r="L374"/>
      <c r="M374"/>
    </row>
    <row r="375" spans="1:13" ht="15" x14ac:dyDescent="0.2">
      <c r="A375"/>
      <c r="B375"/>
      <c r="C375"/>
      <c r="D375"/>
      <c r="E375"/>
      <c r="F375"/>
      <c r="G375"/>
      <c r="H375"/>
      <c r="I375"/>
      <c r="J375"/>
      <c r="K375"/>
      <c r="L375"/>
      <c r="M375"/>
    </row>
    <row r="376" spans="1:13" ht="15" x14ac:dyDescent="0.2">
      <c r="A376"/>
      <c r="B376"/>
      <c r="C376"/>
      <c r="D376"/>
      <c r="E376"/>
      <c r="F376"/>
      <c r="G376"/>
      <c r="H376"/>
      <c r="I376"/>
      <c r="J376"/>
      <c r="K376"/>
      <c r="L376"/>
      <c r="M376"/>
    </row>
    <row r="377" spans="1:13" ht="15" x14ac:dyDescent="0.2">
      <c r="A377"/>
      <c r="B377"/>
      <c r="C377"/>
      <c r="D377"/>
      <c r="E377"/>
      <c r="F377"/>
      <c r="G377"/>
      <c r="H377"/>
      <c r="I377"/>
      <c r="J377"/>
      <c r="K377"/>
      <c r="L377"/>
      <c r="M377"/>
    </row>
    <row r="378" spans="1:13" ht="15" x14ac:dyDescent="0.2">
      <c r="A378"/>
      <c r="B378"/>
      <c r="C378"/>
      <c r="D378"/>
      <c r="E378"/>
      <c r="F378"/>
      <c r="G378"/>
      <c r="H378"/>
      <c r="I378"/>
      <c r="J378"/>
      <c r="K378"/>
      <c r="L378"/>
      <c r="M378"/>
    </row>
    <row r="379" spans="1:13" ht="15" x14ac:dyDescent="0.2">
      <c r="A379"/>
      <c r="B379"/>
      <c r="C379"/>
      <c r="D379"/>
      <c r="E379"/>
      <c r="F379"/>
      <c r="G379"/>
      <c r="H379"/>
      <c r="I379"/>
      <c r="J379"/>
      <c r="K379"/>
      <c r="L379"/>
      <c r="M379"/>
    </row>
    <row r="380" spans="1:13" ht="15" x14ac:dyDescent="0.2">
      <c r="A380"/>
      <c r="B380"/>
      <c r="C380"/>
      <c r="D380"/>
      <c r="E380"/>
      <c r="F380"/>
      <c r="G380"/>
      <c r="H380"/>
      <c r="I380"/>
      <c r="J380"/>
      <c r="K380"/>
      <c r="L380"/>
      <c r="M380"/>
    </row>
    <row r="381" spans="1:13" ht="15" x14ac:dyDescent="0.2">
      <c r="A381"/>
      <c r="B381"/>
      <c r="C381"/>
      <c r="D381"/>
      <c r="E381"/>
      <c r="F381"/>
      <c r="G381"/>
      <c r="H381"/>
      <c r="I381"/>
      <c r="J381"/>
      <c r="K381"/>
      <c r="L381"/>
      <c r="M381"/>
    </row>
    <row r="382" spans="1:13" ht="15" x14ac:dyDescent="0.2">
      <c r="A382"/>
      <c r="B382"/>
      <c r="C382"/>
      <c r="D382"/>
      <c r="E382"/>
      <c r="F382"/>
      <c r="G382"/>
      <c r="H382"/>
      <c r="I382"/>
      <c r="J382"/>
      <c r="K382"/>
      <c r="L382"/>
      <c r="M382"/>
    </row>
    <row r="383" spans="1:13" ht="15" x14ac:dyDescent="0.2">
      <c r="A383"/>
      <c r="B383"/>
      <c r="C383"/>
      <c r="D383"/>
      <c r="E383"/>
      <c r="F383"/>
      <c r="G383"/>
      <c r="H383"/>
      <c r="I383"/>
      <c r="J383"/>
      <c r="K383"/>
      <c r="L383"/>
      <c r="M383"/>
    </row>
    <row r="384" spans="1:13" ht="15" x14ac:dyDescent="0.2">
      <c r="A384"/>
      <c r="B384"/>
      <c r="C384"/>
      <c r="D384"/>
      <c r="E384"/>
      <c r="F384"/>
      <c r="G384"/>
      <c r="H384"/>
      <c r="I384"/>
      <c r="J384"/>
      <c r="K384"/>
      <c r="L384"/>
      <c r="M384"/>
    </row>
    <row r="385" spans="1:13" ht="15" x14ac:dyDescent="0.2">
      <c r="A385"/>
      <c r="B385"/>
      <c r="C385"/>
      <c r="D385"/>
      <c r="E385"/>
      <c r="F385"/>
      <c r="G385"/>
      <c r="H385"/>
      <c r="I385"/>
      <c r="J385"/>
      <c r="K385"/>
      <c r="L385"/>
      <c r="M385"/>
    </row>
    <row r="386" spans="1:13" ht="15" x14ac:dyDescent="0.2">
      <c r="A386"/>
      <c r="B386"/>
      <c r="C386"/>
      <c r="D386"/>
      <c r="E386"/>
      <c r="F386"/>
      <c r="G386"/>
      <c r="H386"/>
      <c r="I386"/>
      <c r="J386"/>
      <c r="K386"/>
      <c r="L386"/>
      <c r="M386"/>
    </row>
    <row r="387" spans="1:13" ht="15" x14ac:dyDescent="0.2">
      <c r="A387"/>
      <c r="B387"/>
      <c r="C387"/>
      <c r="D387"/>
      <c r="E387"/>
      <c r="F387"/>
      <c r="G387"/>
      <c r="H387"/>
      <c r="I387"/>
      <c r="J387"/>
      <c r="K387"/>
      <c r="L387"/>
      <c r="M387"/>
    </row>
    <row r="388" spans="1:13" ht="15" x14ac:dyDescent="0.2">
      <c r="A388"/>
      <c r="B388"/>
      <c r="C388"/>
      <c r="D388"/>
      <c r="E388"/>
      <c r="F388"/>
      <c r="G388"/>
      <c r="H388"/>
      <c r="I388"/>
      <c r="J388"/>
      <c r="K388"/>
      <c r="L388"/>
      <c r="M388"/>
    </row>
    <row r="389" spans="1:13" ht="15" x14ac:dyDescent="0.2">
      <c r="A389"/>
      <c r="B389"/>
      <c r="C389"/>
      <c r="D389"/>
      <c r="E389"/>
      <c r="F389"/>
      <c r="G389"/>
      <c r="H389"/>
      <c r="I389"/>
      <c r="J389"/>
      <c r="K389"/>
      <c r="L389"/>
      <c r="M389"/>
    </row>
    <row r="390" spans="1:13" ht="15" x14ac:dyDescent="0.2">
      <c r="A390"/>
      <c r="B390"/>
      <c r="C390"/>
      <c r="D390"/>
      <c r="E390"/>
      <c r="F390"/>
      <c r="G390"/>
      <c r="H390"/>
      <c r="I390"/>
      <c r="J390"/>
      <c r="K390"/>
      <c r="L390"/>
      <c r="M390"/>
    </row>
    <row r="391" spans="1:13" ht="15" x14ac:dyDescent="0.2">
      <c r="A391"/>
      <c r="B391"/>
      <c r="C391"/>
      <c r="D391"/>
      <c r="E391"/>
      <c r="F391"/>
      <c r="G391"/>
      <c r="H391"/>
      <c r="I391"/>
      <c r="J391"/>
      <c r="K391"/>
      <c r="L391"/>
      <c r="M391"/>
    </row>
    <row r="392" spans="1:13" ht="15" x14ac:dyDescent="0.2">
      <c r="A392"/>
      <c r="B392"/>
      <c r="C392"/>
      <c r="D392"/>
      <c r="E392"/>
      <c r="F392"/>
      <c r="G392"/>
      <c r="H392"/>
      <c r="I392"/>
      <c r="J392"/>
      <c r="K392"/>
      <c r="L392"/>
      <c r="M392"/>
    </row>
    <row r="393" spans="1:13" ht="15" x14ac:dyDescent="0.2">
      <c r="A393"/>
      <c r="B393"/>
      <c r="C393"/>
      <c r="D393"/>
      <c r="E393"/>
      <c r="F393"/>
      <c r="G393"/>
      <c r="H393"/>
      <c r="I393"/>
      <c r="J393"/>
      <c r="K393"/>
      <c r="L393"/>
      <c r="M393"/>
    </row>
    <row r="394" spans="1:13" ht="15" x14ac:dyDescent="0.2">
      <c r="A394"/>
      <c r="B394"/>
      <c r="C394"/>
      <c r="D394"/>
      <c r="E394"/>
      <c r="F394"/>
      <c r="G394"/>
      <c r="H394"/>
      <c r="I394"/>
      <c r="J394"/>
      <c r="K394"/>
      <c r="L394"/>
      <c r="M394"/>
    </row>
    <row r="395" spans="1:13" ht="15" x14ac:dyDescent="0.2">
      <c r="A395"/>
      <c r="B395"/>
      <c r="C395"/>
      <c r="D395"/>
      <c r="E395"/>
      <c r="F395"/>
      <c r="G395"/>
      <c r="H395"/>
      <c r="I395"/>
      <c r="J395"/>
      <c r="K395"/>
      <c r="L395"/>
      <c r="M395"/>
    </row>
    <row r="396" spans="1:13" ht="15" x14ac:dyDescent="0.2">
      <c r="A396"/>
      <c r="B396"/>
      <c r="C396"/>
      <c r="D396"/>
      <c r="E396"/>
      <c r="F396"/>
      <c r="G396"/>
      <c r="H396"/>
      <c r="I396"/>
      <c r="J396"/>
      <c r="K396"/>
      <c r="L396"/>
      <c r="M396"/>
    </row>
    <row r="397" spans="1:13" ht="15" x14ac:dyDescent="0.2">
      <c r="A397"/>
      <c r="B397"/>
      <c r="C397"/>
      <c r="D397"/>
      <c r="E397"/>
      <c r="F397"/>
      <c r="G397"/>
      <c r="H397"/>
      <c r="I397"/>
      <c r="J397"/>
      <c r="K397"/>
      <c r="L397"/>
      <c r="M397"/>
    </row>
    <row r="398" spans="1:13" ht="15" x14ac:dyDescent="0.2">
      <c r="A398"/>
      <c r="B398"/>
      <c r="C398"/>
      <c r="D398"/>
      <c r="E398"/>
      <c r="F398"/>
      <c r="G398"/>
      <c r="H398"/>
      <c r="I398"/>
      <c r="J398"/>
      <c r="K398"/>
      <c r="L398"/>
      <c r="M398"/>
    </row>
    <row r="399" spans="1:13" ht="15" x14ac:dyDescent="0.2">
      <c r="A399"/>
      <c r="B399"/>
      <c r="C399"/>
      <c r="D399"/>
      <c r="E399"/>
      <c r="F399"/>
      <c r="G399"/>
      <c r="H399"/>
      <c r="I399"/>
      <c r="J399"/>
      <c r="K399"/>
      <c r="L399"/>
      <c r="M399"/>
    </row>
    <row r="400" spans="1:13" ht="15" x14ac:dyDescent="0.2">
      <c r="A400"/>
      <c r="B400"/>
      <c r="C400"/>
      <c r="D400"/>
      <c r="E400"/>
      <c r="F400"/>
      <c r="G400"/>
      <c r="H400"/>
      <c r="I400"/>
      <c r="J400"/>
      <c r="K400"/>
      <c r="L400"/>
      <c r="M400"/>
    </row>
    <row r="401" spans="1:13" ht="15" x14ac:dyDescent="0.2">
      <c r="A401"/>
      <c r="B401"/>
      <c r="C401"/>
      <c r="D401"/>
      <c r="E401"/>
      <c r="F401"/>
      <c r="G401"/>
      <c r="H401"/>
      <c r="I401"/>
      <c r="J401"/>
      <c r="K401"/>
      <c r="L401"/>
      <c r="M401"/>
    </row>
    <row r="402" spans="1:13" ht="15" x14ac:dyDescent="0.2">
      <c r="A402"/>
      <c r="B402"/>
      <c r="C402"/>
      <c r="D402"/>
      <c r="E402"/>
      <c r="F402"/>
      <c r="G402"/>
      <c r="H402"/>
      <c r="I402"/>
      <c r="J402"/>
      <c r="K402"/>
      <c r="L402"/>
      <c r="M402"/>
    </row>
    <row r="403" spans="1:13" ht="15" x14ac:dyDescent="0.2">
      <c r="A403"/>
      <c r="B403"/>
      <c r="C403"/>
      <c r="D403"/>
      <c r="E403"/>
      <c r="F403"/>
      <c r="G403"/>
      <c r="H403"/>
      <c r="I403"/>
      <c r="J403"/>
      <c r="K403"/>
      <c r="L403"/>
      <c r="M403"/>
    </row>
    <row r="404" spans="1:13" ht="15" x14ac:dyDescent="0.2">
      <c r="A404"/>
      <c r="B404"/>
      <c r="C404"/>
      <c r="D404"/>
      <c r="E404"/>
      <c r="F404"/>
      <c r="G404"/>
      <c r="H404"/>
      <c r="I404"/>
      <c r="J404"/>
      <c r="K404"/>
      <c r="L404"/>
      <c r="M404"/>
    </row>
    <row r="405" spans="1:13" ht="15" x14ac:dyDescent="0.2">
      <c r="A405"/>
      <c r="B405"/>
      <c r="C405"/>
      <c r="D405"/>
      <c r="E405"/>
      <c r="F405"/>
      <c r="G405"/>
      <c r="H405"/>
      <c r="I405"/>
      <c r="J405"/>
      <c r="K405"/>
      <c r="L405"/>
      <c r="M405"/>
    </row>
    <row r="406" spans="1:13" ht="15" x14ac:dyDescent="0.2">
      <c r="A406"/>
      <c r="B406"/>
      <c r="C406"/>
      <c r="D406"/>
      <c r="E406"/>
      <c r="F406"/>
      <c r="G406"/>
      <c r="H406"/>
      <c r="I406"/>
      <c r="J406"/>
      <c r="K406"/>
      <c r="L406"/>
      <c r="M406"/>
    </row>
    <row r="407" spans="1:13" ht="15" x14ac:dyDescent="0.2">
      <c r="A407"/>
      <c r="B407"/>
      <c r="C407"/>
      <c r="D407"/>
      <c r="E407"/>
      <c r="F407"/>
      <c r="G407"/>
      <c r="H407"/>
      <c r="I407"/>
      <c r="J407"/>
      <c r="K407"/>
      <c r="L407"/>
      <c r="M407"/>
    </row>
    <row r="408" spans="1:13" ht="15" x14ac:dyDescent="0.2">
      <c r="A408"/>
      <c r="B408"/>
      <c r="C408"/>
      <c r="D408"/>
      <c r="E408"/>
      <c r="F408"/>
      <c r="G408"/>
      <c r="H408"/>
      <c r="I408"/>
      <c r="J408"/>
      <c r="K408"/>
      <c r="L408"/>
      <c r="M408"/>
    </row>
    <row r="409" spans="1:13" ht="15" x14ac:dyDescent="0.2">
      <c r="A409"/>
      <c r="B409"/>
      <c r="C409"/>
      <c r="D409"/>
      <c r="E409"/>
      <c r="F409"/>
      <c r="G409"/>
      <c r="H409"/>
      <c r="I409"/>
      <c r="J409"/>
      <c r="K409"/>
      <c r="L409"/>
      <c r="M409"/>
    </row>
    <row r="410" spans="1:13" ht="15" x14ac:dyDescent="0.2">
      <c r="A410"/>
      <c r="B410"/>
      <c r="C410"/>
      <c r="D410"/>
      <c r="E410"/>
      <c r="F410"/>
      <c r="G410"/>
      <c r="H410"/>
      <c r="I410"/>
      <c r="J410"/>
      <c r="K410"/>
      <c r="L410"/>
      <c r="M410"/>
    </row>
    <row r="411" spans="1:13" ht="15" x14ac:dyDescent="0.2">
      <c r="A411"/>
      <c r="B411"/>
      <c r="C411"/>
      <c r="D411"/>
      <c r="E411"/>
      <c r="F411"/>
      <c r="G411"/>
      <c r="H411"/>
      <c r="I411"/>
      <c r="J411"/>
      <c r="K411"/>
      <c r="L411"/>
      <c r="M411"/>
    </row>
    <row r="412" spans="1:13" ht="15" x14ac:dyDescent="0.2">
      <c r="A412"/>
      <c r="B412"/>
      <c r="C412"/>
      <c r="D412"/>
      <c r="E412"/>
      <c r="F412"/>
      <c r="G412"/>
      <c r="H412"/>
      <c r="I412"/>
      <c r="J412"/>
      <c r="K412"/>
      <c r="L412"/>
      <c r="M412"/>
    </row>
    <row r="413" spans="1:13" ht="15" x14ac:dyDescent="0.2">
      <c r="A413"/>
      <c r="B413"/>
      <c r="C413"/>
      <c r="D413"/>
      <c r="E413"/>
      <c r="F413"/>
      <c r="G413"/>
      <c r="H413"/>
      <c r="I413"/>
      <c r="J413"/>
      <c r="K413"/>
      <c r="L413"/>
      <c r="M413"/>
    </row>
    <row r="414" spans="1:13" ht="15" x14ac:dyDescent="0.2">
      <c r="A414"/>
      <c r="B414"/>
      <c r="C414"/>
      <c r="D414"/>
      <c r="E414"/>
      <c r="F414"/>
      <c r="G414"/>
      <c r="H414"/>
      <c r="I414"/>
      <c r="J414"/>
      <c r="K414"/>
      <c r="L414"/>
      <c r="M414"/>
    </row>
    <row r="415" spans="1:13" ht="15" x14ac:dyDescent="0.2">
      <c r="A415"/>
      <c r="B415"/>
      <c r="C415"/>
      <c r="D415"/>
      <c r="E415"/>
      <c r="F415"/>
      <c r="G415"/>
      <c r="H415"/>
      <c r="I415"/>
      <c r="J415"/>
      <c r="K415"/>
      <c r="L415"/>
      <c r="M415"/>
    </row>
    <row r="416" spans="1:13" ht="15" x14ac:dyDescent="0.2">
      <c r="A416"/>
      <c r="B416"/>
      <c r="C416"/>
      <c r="D416"/>
      <c r="E416"/>
      <c r="F416"/>
      <c r="G416"/>
      <c r="H416"/>
      <c r="I416"/>
      <c r="J416"/>
      <c r="K416"/>
      <c r="L416"/>
      <c r="M416"/>
    </row>
    <row r="417" spans="1:13" ht="15" x14ac:dyDescent="0.2">
      <c r="A417"/>
      <c r="B417"/>
      <c r="C417"/>
      <c r="D417"/>
      <c r="E417"/>
      <c r="F417"/>
      <c r="G417"/>
      <c r="H417"/>
      <c r="I417"/>
      <c r="J417"/>
      <c r="K417"/>
      <c r="L417"/>
      <c r="M417"/>
    </row>
    <row r="418" spans="1:13" ht="15" x14ac:dyDescent="0.2">
      <c r="A418"/>
      <c r="B418"/>
      <c r="C418"/>
      <c r="D418"/>
      <c r="E418"/>
      <c r="F418"/>
      <c r="G418"/>
      <c r="H418"/>
      <c r="I418"/>
      <c r="J418"/>
      <c r="K418"/>
      <c r="L418"/>
      <c r="M418"/>
    </row>
    <row r="419" spans="1:13" ht="15" x14ac:dyDescent="0.2">
      <c r="A419"/>
      <c r="B419"/>
      <c r="C419"/>
      <c r="D419"/>
      <c r="E419"/>
      <c r="F419"/>
      <c r="G419"/>
      <c r="H419"/>
      <c r="I419"/>
      <c r="J419"/>
      <c r="K419"/>
      <c r="L419"/>
      <c r="M419"/>
    </row>
    <row r="420" spans="1:13" ht="15" x14ac:dyDescent="0.2">
      <c r="A420"/>
      <c r="B420"/>
      <c r="C420"/>
      <c r="D420"/>
      <c r="E420"/>
      <c r="F420"/>
      <c r="G420"/>
      <c r="H420"/>
      <c r="I420"/>
      <c r="J420"/>
      <c r="K420"/>
      <c r="L420"/>
      <c r="M420"/>
    </row>
    <row r="421" spans="1:13" ht="15" x14ac:dyDescent="0.2">
      <c r="A421"/>
      <c r="B421"/>
      <c r="C421"/>
      <c r="D421"/>
      <c r="E421"/>
      <c r="F421"/>
      <c r="G421"/>
      <c r="H421"/>
      <c r="I421"/>
      <c r="J421"/>
      <c r="K421"/>
      <c r="L421"/>
      <c r="M421"/>
    </row>
    <row r="422" spans="1:13" ht="15" x14ac:dyDescent="0.2">
      <c r="A422"/>
      <c r="B422"/>
      <c r="C422"/>
      <c r="D422"/>
      <c r="E422"/>
      <c r="F422"/>
      <c r="G422"/>
      <c r="H422"/>
      <c r="I422"/>
      <c r="J422"/>
      <c r="K422"/>
      <c r="L422"/>
      <c r="M422"/>
    </row>
    <row r="423" spans="1:13" ht="15" x14ac:dyDescent="0.2">
      <c r="A423"/>
      <c r="B423"/>
      <c r="C423"/>
      <c r="D423"/>
      <c r="E423"/>
      <c r="F423"/>
      <c r="G423"/>
      <c r="H423"/>
      <c r="I423"/>
      <c r="J423"/>
      <c r="K423"/>
      <c r="L423"/>
      <c r="M423"/>
    </row>
    <row r="424" spans="1:13" ht="15" x14ac:dyDescent="0.2">
      <c r="A424"/>
      <c r="B424"/>
      <c r="C424"/>
      <c r="D424"/>
      <c r="E424"/>
      <c r="F424"/>
      <c r="G424"/>
      <c r="H424"/>
      <c r="I424"/>
      <c r="J424"/>
      <c r="K424"/>
      <c r="L424"/>
      <c r="M424"/>
    </row>
    <row r="425" spans="1:13" ht="15" x14ac:dyDescent="0.2">
      <c r="A425"/>
      <c r="B425"/>
      <c r="C425"/>
      <c r="D425"/>
      <c r="E425"/>
      <c r="F425"/>
      <c r="G425"/>
      <c r="H425"/>
      <c r="I425"/>
      <c r="J425"/>
      <c r="K425"/>
      <c r="L425"/>
      <c r="M425"/>
    </row>
    <row r="426" spans="1:13" ht="15" x14ac:dyDescent="0.2">
      <c r="A426"/>
      <c r="B426"/>
      <c r="C426"/>
      <c r="D426"/>
      <c r="E426"/>
      <c r="F426"/>
      <c r="G426"/>
      <c r="H426"/>
      <c r="I426"/>
      <c r="J426"/>
      <c r="K426"/>
      <c r="L426"/>
      <c r="M426"/>
    </row>
    <row r="427" spans="1:13" ht="15" x14ac:dyDescent="0.2">
      <c r="A427"/>
      <c r="B427"/>
      <c r="C427"/>
      <c r="D427"/>
      <c r="E427"/>
      <c r="F427"/>
      <c r="G427"/>
      <c r="H427"/>
      <c r="I427"/>
      <c r="J427"/>
      <c r="K427"/>
      <c r="L427"/>
      <c r="M427"/>
    </row>
    <row r="428" spans="1:13" ht="15" x14ac:dyDescent="0.2">
      <c r="A428"/>
      <c r="B428"/>
      <c r="C428"/>
      <c r="D428"/>
      <c r="E428"/>
      <c r="F428"/>
      <c r="G428"/>
      <c r="H428"/>
      <c r="I428"/>
      <c r="J428"/>
      <c r="K428"/>
      <c r="L428"/>
      <c r="M428"/>
    </row>
    <row r="429" spans="1:13" ht="15" x14ac:dyDescent="0.2">
      <c r="A429"/>
      <c r="B429"/>
      <c r="C429"/>
      <c r="D429"/>
      <c r="E429"/>
      <c r="F429"/>
      <c r="G429"/>
      <c r="H429"/>
      <c r="I429"/>
      <c r="J429"/>
      <c r="K429"/>
      <c r="L429"/>
      <c r="M429"/>
    </row>
    <row r="430" spans="1:13" ht="15" x14ac:dyDescent="0.2">
      <c r="A430"/>
      <c r="B430"/>
      <c r="C430"/>
      <c r="D430"/>
      <c r="E430"/>
      <c r="F430"/>
      <c r="G430"/>
      <c r="H430"/>
      <c r="I430"/>
      <c r="J430"/>
      <c r="K430"/>
      <c r="L430"/>
      <c r="M430"/>
    </row>
    <row r="431" spans="1:13" ht="15" x14ac:dyDescent="0.2">
      <c r="A431"/>
      <c r="B431"/>
      <c r="C431"/>
      <c r="D431"/>
      <c r="E431"/>
      <c r="F431"/>
      <c r="G431"/>
      <c r="H431"/>
      <c r="I431"/>
      <c r="J431"/>
      <c r="K431"/>
      <c r="L431"/>
      <c r="M431"/>
    </row>
    <row r="432" spans="1:13" ht="15" x14ac:dyDescent="0.2">
      <c r="A432"/>
      <c r="B432"/>
      <c r="C432"/>
      <c r="D432"/>
      <c r="E432"/>
      <c r="F432"/>
      <c r="G432"/>
      <c r="H432"/>
      <c r="I432"/>
      <c r="J432"/>
      <c r="K432"/>
      <c r="L432"/>
      <c r="M432"/>
    </row>
    <row r="433" spans="1:13" ht="15" x14ac:dyDescent="0.2">
      <c r="A433"/>
      <c r="B433"/>
      <c r="C433"/>
      <c r="D433"/>
      <c r="E433"/>
      <c r="F433"/>
      <c r="G433"/>
      <c r="H433"/>
      <c r="I433"/>
      <c r="J433"/>
      <c r="K433"/>
      <c r="L433"/>
      <c r="M433"/>
    </row>
    <row r="434" spans="1:13" ht="15" x14ac:dyDescent="0.2">
      <c r="A434"/>
      <c r="B434"/>
      <c r="C434"/>
      <c r="D434"/>
      <c r="E434"/>
      <c r="F434"/>
      <c r="G434"/>
      <c r="H434"/>
      <c r="I434"/>
      <c r="J434"/>
      <c r="K434"/>
      <c r="L434"/>
      <c r="M434"/>
    </row>
    <row r="435" spans="1:13" ht="15" x14ac:dyDescent="0.2">
      <c r="A435"/>
      <c r="B435"/>
      <c r="C435"/>
      <c r="D435"/>
      <c r="E435"/>
      <c r="F435"/>
      <c r="G435"/>
      <c r="H435"/>
      <c r="I435"/>
      <c r="J435"/>
      <c r="K435"/>
      <c r="L435"/>
      <c r="M435"/>
    </row>
    <row r="436" spans="1:13" ht="15" x14ac:dyDescent="0.2">
      <c r="A436"/>
      <c r="B436"/>
      <c r="C436"/>
      <c r="D436"/>
      <c r="E436"/>
      <c r="F436"/>
      <c r="G436"/>
      <c r="H436"/>
      <c r="I436"/>
      <c r="J436"/>
      <c r="K436"/>
      <c r="L436"/>
      <c r="M436"/>
    </row>
    <row r="437" spans="1:13" ht="15" x14ac:dyDescent="0.2">
      <c r="A437"/>
      <c r="B437"/>
      <c r="C437"/>
      <c r="D437"/>
      <c r="E437"/>
      <c r="F437"/>
      <c r="G437"/>
      <c r="H437"/>
      <c r="I437"/>
      <c r="J437"/>
      <c r="K437"/>
      <c r="L437"/>
      <c r="M437"/>
    </row>
    <row r="438" spans="1:13" ht="15" x14ac:dyDescent="0.2">
      <c r="A438"/>
      <c r="B438"/>
      <c r="C438"/>
      <c r="D438"/>
      <c r="E438"/>
      <c r="F438"/>
      <c r="G438"/>
      <c r="H438"/>
      <c r="I438"/>
      <c r="J438"/>
      <c r="K438"/>
      <c r="L438"/>
      <c r="M438"/>
    </row>
    <row r="439" spans="1:13" ht="15" x14ac:dyDescent="0.2">
      <c r="A439"/>
      <c r="B439"/>
      <c r="C439"/>
      <c r="D439"/>
      <c r="E439"/>
      <c r="F439"/>
      <c r="G439"/>
      <c r="H439"/>
      <c r="I439"/>
      <c r="J439"/>
      <c r="K439"/>
      <c r="L439"/>
      <c r="M439"/>
    </row>
    <row r="440" spans="1:13" ht="15" x14ac:dyDescent="0.2">
      <c r="A440"/>
      <c r="B440"/>
      <c r="C440"/>
      <c r="D440"/>
      <c r="E440"/>
      <c r="F440"/>
      <c r="G440"/>
      <c r="H440"/>
      <c r="I440"/>
      <c r="J440"/>
      <c r="K440"/>
      <c r="L440"/>
      <c r="M440"/>
    </row>
    <row r="441" spans="1:13" ht="15" x14ac:dyDescent="0.2">
      <c r="A441"/>
      <c r="B441"/>
      <c r="C441"/>
      <c r="D441"/>
      <c r="E441"/>
      <c r="F441"/>
      <c r="G441"/>
      <c r="H441"/>
      <c r="I441"/>
      <c r="J441"/>
      <c r="K441"/>
      <c r="L441"/>
      <c r="M441"/>
    </row>
    <row r="442" spans="1:13" ht="15" x14ac:dyDescent="0.2">
      <c r="A442"/>
      <c r="B442"/>
      <c r="C442"/>
      <c r="D442"/>
      <c r="E442"/>
      <c r="F442"/>
      <c r="G442"/>
      <c r="H442"/>
      <c r="I442"/>
      <c r="J442"/>
      <c r="K442"/>
      <c r="L442"/>
      <c r="M442"/>
    </row>
    <row r="443" spans="1:13" ht="15" x14ac:dyDescent="0.2">
      <c r="A443"/>
      <c r="B443"/>
      <c r="C443"/>
      <c r="D443"/>
      <c r="E443"/>
      <c r="F443"/>
      <c r="G443"/>
      <c r="H443"/>
      <c r="I443"/>
      <c r="J443"/>
      <c r="K443"/>
      <c r="L443"/>
      <c r="M443"/>
    </row>
    <row r="444" spans="1:13" ht="15" x14ac:dyDescent="0.2">
      <c r="A444"/>
      <c r="B444"/>
      <c r="C444"/>
      <c r="D444"/>
      <c r="E444"/>
      <c r="F444"/>
      <c r="G444"/>
      <c r="H444"/>
      <c r="I444"/>
      <c r="J444"/>
      <c r="K444"/>
      <c r="L444"/>
      <c r="M444"/>
    </row>
    <row r="445" spans="1:13" ht="15" x14ac:dyDescent="0.2">
      <c r="A445"/>
      <c r="B445"/>
      <c r="C445"/>
      <c r="D445"/>
      <c r="E445"/>
      <c r="F445"/>
      <c r="G445"/>
      <c r="H445"/>
      <c r="I445"/>
      <c r="J445"/>
      <c r="K445"/>
      <c r="L445"/>
      <c r="M445"/>
    </row>
    <row r="446" spans="1:13" ht="15" x14ac:dyDescent="0.2">
      <c r="A446"/>
      <c r="B446"/>
      <c r="C446"/>
      <c r="D446"/>
      <c r="E446"/>
      <c r="F446"/>
      <c r="G446"/>
      <c r="H446"/>
      <c r="I446"/>
      <c r="J446"/>
      <c r="K446"/>
      <c r="L446"/>
      <c r="M446"/>
    </row>
    <row r="447" spans="1:13" ht="15" x14ac:dyDescent="0.2">
      <c r="A447"/>
      <c r="B447"/>
      <c r="C447"/>
      <c r="D447"/>
      <c r="E447"/>
      <c r="F447"/>
      <c r="G447"/>
      <c r="H447"/>
      <c r="I447"/>
      <c r="J447"/>
      <c r="K447"/>
      <c r="L447"/>
      <c r="M447"/>
    </row>
    <row r="448" spans="1:13" ht="15" x14ac:dyDescent="0.2">
      <c r="A448"/>
      <c r="B448"/>
      <c r="C448"/>
      <c r="D448"/>
      <c r="E448"/>
      <c r="F448"/>
      <c r="G448"/>
      <c r="H448"/>
      <c r="I448"/>
      <c r="J448"/>
      <c r="K448"/>
      <c r="L448"/>
      <c r="M448"/>
    </row>
    <row r="449" spans="1:13" ht="15" x14ac:dyDescent="0.2">
      <c r="A449"/>
      <c r="B449"/>
      <c r="C449"/>
      <c r="D449"/>
      <c r="E449"/>
      <c r="F449"/>
      <c r="G449"/>
      <c r="H449"/>
      <c r="I449"/>
      <c r="J449"/>
      <c r="K449"/>
      <c r="L449"/>
      <c r="M449"/>
    </row>
    <row r="450" spans="1:13" ht="15" x14ac:dyDescent="0.2">
      <c r="A450"/>
      <c r="B450"/>
      <c r="C450"/>
      <c r="D450"/>
      <c r="E450"/>
      <c r="F450"/>
      <c r="G450"/>
      <c r="H450"/>
      <c r="I450"/>
      <c r="J450"/>
      <c r="K450"/>
      <c r="L450"/>
      <c r="M450"/>
    </row>
    <row r="451" spans="1:13" ht="15" x14ac:dyDescent="0.2">
      <c r="A451"/>
      <c r="B451"/>
      <c r="C451"/>
      <c r="D451"/>
      <c r="E451"/>
      <c r="F451"/>
      <c r="G451"/>
      <c r="H451"/>
      <c r="I451"/>
      <c r="J451"/>
      <c r="K451"/>
      <c r="L451"/>
      <c r="M451"/>
    </row>
    <row r="452" spans="1:13" ht="15" x14ac:dyDescent="0.2">
      <c r="A452"/>
      <c r="B452"/>
      <c r="C452"/>
      <c r="D452"/>
      <c r="E452"/>
      <c r="F452"/>
      <c r="G452"/>
      <c r="H452"/>
      <c r="I452"/>
      <c r="J452"/>
      <c r="K452"/>
      <c r="L452"/>
      <c r="M452"/>
    </row>
    <row r="453" spans="1:13" ht="15" x14ac:dyDescent="0.2">
      <c r="A453"/>
      <c r="B453"/>
      <c r="C453"/>
      <c r="D453"/>
      <c r="E453"/>
      <c r="F453"/>
      <c r="G453"/>
      <c r="H453"/>
      <c r="I453"/>
      <c r="J453"/>
      <c r="K453"/>
      <c r="L453"/>
      <c r="M453"/>
    </row>
    <row r="454" spans="1:13" ht="15" x14ac:dyDescent="0.2">
      <c r="A454"/>
      <c r="B454"/>
      <c r="C454"/>
      <c r="D454"/>
      <c r="E454"/>
      <c r="F454"/>
      <c r="G454"/>
      <c r="H454"/>
      <c r="I454"/>
      <c r="J454"/>
      <c r="K454"/>
      <c r="L454"/>
      <c r="M454"/>
    </row>
    <row r="455" spans="1:13" ht="15" x14ac:dyDescent="0.2">
      <c r="A455"/>
      <c r="B455"/>
      <c r="C455"/>
      <c r="D455"/>
      <c r="E455"/>
      <c r="F455"/>
      <c r="G455"/>
      <c r="H455"/>
      <c r="I455"/>
      <c r="J455"/>
      <c r="K455"/>
      <c r="L455"/>
      <c r="M455"/>
    </row>
    <row r="456" spans="1:13" ht="15" x14ac:dyDescent="0.2">
      <c r="A456"/>
      <c r="B456"/>
      <c r="C456"/>
      <c r="D456"/>
      <c r="E456"/>
      <c r="F456"/>
      <c r="G456"/>
      <c r="H456"/>
      <c r="I456"/>
      <c r="J456"/>
      <c r="K456"/>
      <c r="L456"/>
      <c r="M456"/>
    </row>
    <row r="457" spans="1:13" ht="15" x14ac:dyDescent="0.2">
      <c r="A457"/>
      <c r="B457"/>
      <c r="C457"/>
      <c r="D457"/>
      <c r="E457"/>
      <c r="F457"/>
      <c r="G457"/>
      <c r="H457"/>
      <c r="I457"/>
      <c r="J457"/>
      <c r="K457"/>
      <c r="L457"/>
      <c r="M457"/>
    </row>
    <row r="458" spans="1:13" ht="15" x14ac:dyDescent="0.2">
      <c r="A458"/>
      <c r="B458"/>
      <c r="C458"/>
      <c r="D458"/>
      <c r="E458"/>
      <c r="F458"/>
      <c r="G458"/>
      <c r="H458"/>
      <c r="I458"/>
      <c r="J458"/>
      <c r="K458"/>
      <c r="L458"/>
      <c r="M458"/>
    </row>
    <row r="459" spans="1:13" ht="15" x14ac:dyDescent="0.2">
      <c r="A459"/>
      <c r="B459"/>
      <c r="C459"/>
      <c r="D459"/>
      <c r="E459"/>
      <c r="F459"/>
      <c r="G459"/>
      <c r="H459"/>
      <c r="I459"/>
      <c r="J459"/>
      <c r="K459"/>
      <c r="L459"/>
      <c r="M459"/>
    </row>
    <row r="460" spans="1:13" ht="15" x14ac:dyDescent="0.2">
      <c r="A460"/>
      <c r="B460"/>
      <c r="C460"/>
      <c r="D460"/>
      <c r="E460"/>
      <c r="F460"/>
      <c r="G460"/>
      <c r="H460"/>
      <c r="I460"/>
      <c r="J460"/>
      <c r="K460"/>
      <c r="L460"/>
      <c r="M460"/>
    </row>
    <row r="461" spans="1:13" ht="15" x14ac:dyDescent="0.2">
      <c r="A461"/>
      <c r="B461"/>
      <c r="C461"/>
      <c r="D461"/>
      <c r="E461"/>
      <c r="F461"/>
      <c r="G461"/>
      <c r="H461"/>
      <c r="I461"/>
      <c r="J461"/>
      <c r="K461"/>
      <c r="L461"/>
      <c r="M461"/>
    </row>
    <row r="462" spans="1:13" ht="15" x14ac:dyDescent="0.2">
      <c r="A462"/>
      <c r="B462"/>
      <c r="C462"/>
      <c r="D462"/>
      <c r="E462"/>
      <c r="F462"/>
      <c r="G462"/>
      <c r="H462"/>
      <c r="I462"/>
      <c r="J462"/>
      <c r="K462"/>
      <c r="L462"/>
      <c r="M462"/>
    </row>
    <row r="463" spans="1:13" ht="15" x14ac:dyDescent="0.2">
      <c r="A463"/>
      <c r="B463"/>
      <c r="C463"/>
      <c r="D463"/>
      <c r="E463"/>
      <c r="F463"/>
      <c r="G463"/>
      <c r="H463"/>
      <c r="I463"/>
      <c r="J463"/>
      <c r="K463"/>
      <c r="L463"/>
      <c r="M463"/>
    </row>
    <row r="464" spans="1:13" ht="15" x14ac:dyDescent="0.2">
      <c r="A464"/>
      <c r="B464"/>
      <c r="C464"/>
      <c r="D464"/>
      <c r="E464"/>
      <c r="F464"/>
      <c r="G464"/>
      <c r="H464"/>
      <c r="I464"/>
      <c r="J464"/>
      <c r="K464"/>
      <c r="L464"/>
      <c r="M464"/>
    </row>
    <row r="465" spans="1:13" ht="15" x14ac:dyDescent="0.2">
      <c r="A465"/>
      <c r="B465"/>
      <c r="C465"/>
      <c r="D465"/>
      <c r="E465"/>
      <c r="F465"/>
      <c r="G465"/>
      <c r="H465"/>
      <c r="I465"/>
      <c r="J465"/>
      <c r="K465"/>
      <c r="L465"/>
      <c r="M465"/>
    </row>
    <row r="466" spans="1:13" ht="15" x14ac:dyDescent="0.2">
      <c r="A466"/>
      <c r="B466"/>
      <c r="C466"/>
      <c r="D466"/>
      <c r="E466"/>
      <c r="F466"/>
      <c r="G466"/>
      <c r="H466"/>
      <c r="I466"/>
      <c r="J466"/>
      <c r="K466"/>
      <c r="L466"/>
      <c r="M466"/>
    </row>
    <row r="467" spans="1:13" ht="15" x14ac:dyDescent="0.2">
      <c r="A467"/>
      <c r="B467"/>
      <c r="C467"/>
      <c r="D467"/>
      <c r="E467"/>
      <c r="F467"/>
      <c r="G467"/>
      <c r="H467"/>
      <c r="I467"/>
      <c r="J467"/>
      <c r="K467"/>
      <c r="L467"/>
      <c r="M467"/>
    </row>
    <row r="468" spans="1:13" ht="15" x14ac:dyDescent="0.2">
      <c r="A468"/>
      <c r="B468"/>
      <c r="C468"/>
      <c r="D468"/>
      <c r="E468"/>
      <c r="F468"/>
      <c r="G468"/>
      <c r="H468"/>
      <c r="I468"/>
      <c r="J468"/>
      <c r="K468"/>
      <c r="L468"/>
      <c r="M468"/>
    </row>
    <row r="469" spans="1:13" ht="15" x14ac:dyDescent="0.2">
      <c r="A469"/>
      <c r="B469"/>
      <c r="C469"/>
      <c r="D469"/>
      <c r="E469"/>
      <c r="F469"/>
      <c r="G469"/>
      <c r="H469"/>
      <c r="I469"/>
      <c r="J469"/>
      <c r="K469"/>
      <c r="L469"/>
      <c r="M469"/>
    </row>
    <row r="470" spans="1:13" ht="15" x14ac:dyDescent="0.2">
      <c r="A470"/>
      <c r="B470"/>
      <c r="C470"/>
      <c r="D470"/>
      <c r="E470"/>
      <c r="F470"/>
      <c r="G470"/>
      <c r="H470"/>
      <c r="I470"/>
      <c r="J470"/>
      <c r="K470"/>
      <c r="L470"/>
      <c r="M470"/>
    </row>
    <row r="471" spans="1:13" ht="15" x14ac:dyDescent="0.2">
      <c r="A471"/>
      <c r="B471"/>
      <c r="C471"/>
      <c r="D471"/>
      <c r="E471"/>
      <c r="F471"/>
      <c r="G471"/>
      <c r="H471"/>
      <c r="I471"/>
      <c r="J471"/>
      <c r="K471"/>
      <c r="L471"/>
      <c r="M471"/>
    </row>
    <row r="472" spans="1:13" ht="15" x14ac:dyDescent="0.2">
      <c r="A472"/>
      <c r="B472"/>
      <c r="C472"/>
      <c r="D472"/>
      <c r="E472"/>
      <c r="F472"/>
      <c r="G472"/>
      <c r="H472"/>
      <c r="I472"/>
      <c r="J472"/>
      <c r="K472"/>
      <c r="L472"/>
      <c r="M472"/>
    </row>
    <row r="473" spans="1:13" ht="15" x14ac:dyDescent="0.2">
      <c r="A473"/>
      <c r="B473"/>
      <c r="C473"/>
      <c r="D473"/>
      <c r="E473"/>
      <c r="F473"/>
      <c r="G473"/>
      <c r="H473"/>
      <c r="I473"/>
      <c r="J473"/>
      <c r="K473"/>
      <c r="L473"/>
      <c r="M473"/>
    </row>
    <row r="474" spans="1:13" ht="15" x14ac:dyDescent="0.2">
      <c r="A474"/>
      <c r="B474"/>
      <c r="C474"/>
      <c r="D474"/>
      <c r="E474"/>
      <c r="F474"/>
      <c r="G474"/>
      <c r="H474"/>
      <c r="I474"/>
      <c r="J474"/>
      <c r="K474"/>
      <c r="L474"/>
      <c r="M474"/>
    </row>
    <row r="475" spans="1:13" ht="15" x14ac:dyDescent="0.2">
      <c r="A475"/>
      <c r="B475"/>
      <c r="C475"/>
      <c r="D475"/>
      <c r="E475"/>
      <c r="F475"/>
      <c r="G475"/>
      <c r="H475"/>
      <c r="I475"/>
      <c r="J475"/>
      <c r="K475"/>
      <c r="L475"/>
      <c r="M475"/>
    </row>
    <row r="476" spans="1:13" ht="15" x14ac:dyDescent="0.2">
      <c r="A476"/>
      <c r="B476"/>
      <c r="C476"/>
      <c r="D476"/>
      <c r="E476"/>
      <c r="F476"/>
      <c r="G476"/>
      <c r="H476"/>
      <c r="I476"/>
      <c r="J476"/>
      <c r="K476"/>
      <c r="L476"/>
      <c r="M476"/>
    </row>
    <row r="477" spans="1:13" ht="15" x14ac:dyDescent="0.2">
      <c r="A477"/>
      <c r="B477"/>
      <c r="C477"/>
      <c r="D477"/>
      <c r="E477"/>
      <c r="F477"/>
      <c r="G477"/>
      <c r="H477"/>
      <c r="I477"/>
      <c r="J477"/>
      <c r="K477"/>
      <c r="L477"/>
      <c r="M477"/>
    </row>
    <row r="478" spans="1:13" ht="15" x14ac:dyDescent="0.2">
      <c r="A478"/>
      <c r="B478"/>
      <c r="C478"/>
      <c r="D478"/>
      <c r="E478"/>
      <c r="F478"/>
      <c r="G478"/>
      <c r="H478"/>
      <c r="I478"/>
      <c r="J478"/>
      <c r="K478"/>
      <c r="L478"/>
      <c r="M478"/>
    </row>
    <row r="479" spans="1:13" ht="15" x14ac:dyDescent="0.2">
      <c r="A479"/>
      <c r="B479"/>
      <c r="C479"/>
      <c r="D479"/>
      <c r="E479"/>
      <c r="F479"/>
      <c r="G479"/>
      <c r="H479"/>
      <c r="I479"/>
      <c r="J479"/>
      <c r="K479"/>
      <c r="L479"/>
      <c r="M479"/>
    </row>
    <row r="480" spans="1:13" ht="15" x14ac:dyDescent="0.2">
      <c r="A480"/>
      <c r="B480"/>
      <c r="C480"/>
      <c r="D480"/>
      <c r="E480"/>
      <c r="F480"/>
      <c r="G480"/>
      <c r="H480"/>
      <c r="I480"/>
      <c r="J480"/>
      <c r="K480"/>
      <c r="L480"/>
      <c r="M480"/>
    </row>
    <row r="481" spans="1:13" ht="15" x14ac:dyDescent="0.2">
      <c r="A481"/>
      <c r="B481"/>
      <c r="C481"/>
      <c r="D481"/>
      <c r="E481"/>
      <c r="F481"/>
      <c r="G481"/>
      <c r="H481"/>
      <c r="I481"/>
      <c r="J481"/>
      <c r="K481"/>
      <c r="L481"/>
      <c r="M481"/>
    </row>
    <row r="482" spans="1:13" ht="15" x14ac:dyDescent="0.2">
      <c r="A482"/>
      <c r="B482"/>
      <c r="C482"/>
      <c r="D482"/>
      <c r="E482"/>
      <c r="F482"/>
      <c r="G482"/>
      <c r="H482"/>
      <c r="I482"/>
      <c r="J482"/>
      <c r="K482"/>
      <c r="L482"/>
      <c r="M482"/>
    </row>
    <row r="483" spans="1:13" ht="15" x14ac:dyDescent="0.2">
      <c r="A483"/>
      <c r="B483"/>
      <c r="C483"/>
      <c r="D483"/>
      <c r="E483"/>
      <c r="F483"/>
      <c r="G483"/>
      <c r="H483"/>
      <c r="I483"/>
      <c r="J483"/>
      <c r="K483"/>
      <c r="L483"/>
      <c r="M483"/>
    </row>
    <row r="484" spans="1:13" ht="15" x14ac:dyDescent="0.2">
      <c r="A484"/>
      <c r="B484"/>
      <c r="C484"/>
      <c r="D484"/>
      <c r="E484"/>
      <c r="F484"/>
      <c r="G484"/>
      <c r="H484"/>
      <c r="I484"/>
      <c r="J484"/>
      <c r="K484"/>
      <c r="L484"/>
      <c r="M484"/>
    </row>
    <row r="485" spans="1:13" ht="15" x14ac:dyDescent="0.2">
      <c r="A485"/>
      <c r="B485"/>
      <c r="C485"/>
      <c r="D485"/>
      <c r="E485"/>
      <c r="F485"/>
      <c r="G485"/>
      <c r="H485"/>
      <c r="I485"/>
      <c r="J485"/>
      <c r="K485"/>
      <c r="L485"/>
      <c r="M485"/>
    </row>
    <row r="486" spans="1:13" ht="15" x14ac:dyDescent="0.2">
      <c r="A486"/>
      <c r="B486"/>
      <c r="C486"/>
      <c r="D486"/>
      <c r="E486"/>
      <c r="F486"/>
      <c r="G486"/>
      <c r="H486"/>
      <c r="I486"/>
      <c r="J486"/>
      <c r="K486"/>
      <c r="L486"/>
      <c r="M486"/>
    </row>
    <row r="487" spans="1:13" ht="15" x14ac:dyDescent="0.2">
      <c r="A487"/>
      <c r="B487"/>
      <c r="C487"/>
      <c r="D487"/>
      <c r="E487"/>
      <c r="F487"/>
      <c r="G487"/>
      <c r="H487"/>
      <c r="I487"/>
      <c r="J487"/>
      <c r="K487"/>
      <c r="L487"/>
      <c r="M487"/>
    </row>
    <row r="488" spans="1:13" ht="15" x14ac:dyDescent="0.2">
      <c r="A488"/>
      <c r="B488"/>
      <c r="C488"/>
      <c r="D488"/>
      <c r="E488"/>
      <c r="F488"/>
      <c r="G488"/>
      <c r="H488"/>
      <c r="I488"/>
      <c r="J488"/>
      <c r="K488"/>
      <c r="L488"/>
      <c r="M488"/>
    </row>
    <row r="489" spans="1:13" ht="15" x14ac:dyDescent="0.2">
      <c r="A489"/>
      <c r="B489"/>
      <c r="C489"/>
      <c r="D489"/>
      <c r="E489"/>
      <c r="F489"/>
      <c r="G489"/>
      <c r="H489"/>
      <c r="I489"/>
      <c r="J489"/>
      <c r="K489"/>
      <c r="L489"/>
      <c r="M489"/>
    </row>
    <row r="490" spans="1:13" ht="15" x14ac:dyDescent="0.2">
      <c r="A490"/>
      <c r="B490"/>
      <c r="C490"/>
      <c r="D490"/>
      <c r="E490"/>
      <c r="F490"/>
      <c r="G490"/>
      <c r="H490"/>
      <c r="I490"/>
      <c r="J490"/>
      <c r="K490"/>
      <c r="L490"/>
      <c r="M490"/>
    </row>
    <row r="491" spans="1:13" ht="15" x14ac:dyDescent="0.2">
      <c r="A491"/>
      <c r="B491"/>
      <c r="C491"/>
      <c r="D491"/>
      <c r="E491"/>
      <c r="F491"/>
      <c r="G491"/>
      <c r="H491"/>
      <c r="I491"/>
      <c r="J491"/>
      <c r="K491"/>
      <c r="L491"/>
      <c r="M491"/>
    </row>
    <row r="492" spans="1:13" ht="15" x14ac:dyDescent="0.2">
      <c r="A492"/>
      <c r="B492"/>
      <c r="C492"/>
      <c r="D492"/>
      <c r="E492"/>
      <c r="F492"/>
      <c r="G492"/>
      <c r="H492"/>
      <c r="I492"/>
      <c r="J492"/>
      <c r="K492"/>
      <c r="L492"/>
      <c r="M492"/>
    </row>
    <row r="493" spans="1:13" ht="15" x14ac:dyDescent="0.2">
      <c r="A493"/>
      <c r="B493"/>
      <c r="C493"/>
      <c r="D493"/>
      <c r="E493"/>
      <c r="F493"/>
      <c r="G493"/>
      <c r="H493"/>
      <c r="I493"/>
      <c r="J493"/>
      <c r="K493"/>
      <c r="L493"/>
      <c r="M493"/>
    </row>
    <row r="494" spans="1:13" ht="15" x14ac:dyDescent="0.2">
      <c r="A494"/>
      <c r="B494"/>
      <c r="C494"/>
      <c r="D494"/>
      <c r="E494"/>
      <c r="F494"/>
      <c r="G494"/>
      <c r="H494"/>
      <c r="I494"/>
      <c r="J494"/>
      <c r="K494"/>
      <c r="L494"/>
      <c r="M494"/>
    </row>
    <row r="495" spans="1:13" ht="15" x14ac:dyDescent="0.2">
      <c r="A495"/>
      <c r="B495"/>
      <c r="C495"/>
      <c r="D495"/>
      <c r="E495"/>
      <c r="F495"/>
      <c r="G495"/>
      <c r="H495"/>
      <c r="I495"/>
      <c r="J495"/>
      <c r="K495"/>
      <c r="L495"/>
      <c r="M495"/>
    </row>
    <row r="496" spans="1:13" ht="15" x14ac:dyDescent="0.2">
      <c r="A496"/>
      <c r="B496"/>
      <c r="C496"/>
      <c r="D496"/>
      <c r="E496"/>
      <c r="F496"/>
      <c r="G496"/>
      <c r="H496"/>
      <c r="I496"/>
      <c r="J496"/>
      <c r="K496"/>
      <c r="L496"/>
      <c r="M496"/>
    </row>
    <row r="497" spans="1:13" ht="15" x14ac:dyDescent="0.2">
      <c r="A497"/>
      <c r="B497"/>
      <c r="C497"/>
      <c r="D497"/>
      <c r="E497"/>
      <c r="F497"/>
      <c r="G497"/>
      <c r="H497"/>
      <c r="I497"/>
      <c r="J497"/>
      <c r="K497"/>
      <c r="L497"/>
      <c r="M497"/>
    </row>
    <row r="498" spans="1:13" ht="15" x14ac:dyDescent="0.2">
      <c r="A498"/>
      <c r="B498"/>
      <c r="C498"/>
      <c r="D498"/>
      <c r="E498"/>
      <c r="F498"/>
      <c r="G498"/>
      <c r="H498"/>
      <c r="I498"/>
      <c r="J498"/>
      <c r="K498"/>
      <c r="L498"/>
      <c r="M498"/>
    </row>
    <row r="499" spans="1:13" ht="15" x14ac:dyDescent="0.2">
      <c r="A499"/>
      <c r="B499"/>
      <c r="C499"/>
      <c r="D499"/>
      <c r="E499"/>
      <c r="F499"/>
      <c r="G499"/>
      <c r="H499"/>
      <c r="I499"/>
      <c r="J499"/>
      <c r="K499"/>
      <c r="L499"/>
      <c r="M499"/>
    </row>
    <row r="500" spans="1:13" ht="15" x14ac:dyDescent="0.2">
      <c r="A500"/>
      <c r="B500"/>
      <c r="C500"/>
      <c r="D500"/>
      <c r="E500"/>
      <c r="F500"/>
      <c r="G500"/>
      <c r="H500"/>
      <c r="I500"/>
      <c r="J500"/>
      <c r="K500"/>
      <c r="L500"/>
      <c r="M500"/>
    </row>
    <row r="501" spans="1:13" ht="15" x14ac:dyDescent="0.2">
      <c r="A501"/>
      <c r="B501"/>
      <c r="C501"/>
      <c r="D501"/>
      <c r="E501"/>
      <c r="F501"/>
      <c r="G501"/>
      <c r="H501"/>
      <c r="I501"/>
      <c r="J501"/>
      <c r="K501"/>
      <c r="L501"/>
      <c r="M501"/>
    </row>
    <row r="502" spans="1:13" ht="15" x14ac:dyDescent="0.2">
      <c r="A502"/>
      <c r="B502"/>
      <c r="C502"/>
      <c r="D502"/>
      <c r="E502"/>
      <c r="F502"/>
      <c r="G502"/>
      <c r="H502"/>
      <c r="I502"/>
      <c r="J502"/>
      <c r="K502"/>
      <c r="L502"/>
      <c r="M502"/>
    </row>
    <row r="503" spans="1:13" ht="15" x14ac:dyDescent="0.2">
      <c r="A503"/>
      <c r="B503"/>
      <c r="C503"/>
      <c r="D503"/>
      <c r="E503"/>
      <c r="F503"/>
      <c r="G503"/>
      <c r="H503"/>
      <c r="I503"/>
      <c r="J503"/>
      <c r="K503"/>
      <c r="L503"/>
      <c r="M503"/>
    </row>
    <row r="504" spans="1:13" ht="15" x14ac:dyDescent="0.2">
      <c r="A504"/>
      <c r="B504"/>
      <c r="C504"/>
      <c r="D504"/>
      <c r="E504"/>
      <c r="F504"/>
      <c r="G504"/>
      <c r="H504"/>
      <c r="I504"/>
      <c r="J504"/>
      <c r="K504"/>
      <c r="L504"/>
      <c r="M504"/>
    </row>
    <row r="505" spans="1:13" ht="15" x14ac:dyDescent="0.2">
      <c r="A505"/>
      <c r="B505"/>
      <c r="C505"/>
      <c r="D505"/>
      <c r="E505"/>
      <c r="F505"/>
      <c r="G505"/>
      <c r="H505"/>
      <c r="I505"/>
      <c r="J505"/>
      <c r="K505"/>
      <c r="L505"/>
      <c r="M505"/>
    </row>
    <row r="506" spans="1:13" ht="15" x14ac:dyDescent="0.2">
      <c r="A506"/>
      <c r="B506"/>
      <c r="C506"/>
      <c r="D506"/>
      <c r="E506"/>
      <c r="F506"/>
      <c r="G506"/>
      <c r="H506"/>
      <c r="I506"/>
      <c r="J506"/>
      <c r="K506"/>
      <c r="L506"/>
      <c r="M506"/>
    </row>
    <row r="507" spans="1:13" ht="15" x14ac:dyDescent="0.2">
      <c r="A507"/>
      <c r="B507"/>
      <c r="C507"/>
      <c r="D507"/>
      <c r="E507"/>
      <c r="F507"/>
      <c r="G507"/>
      <c r="H507"/>
      <c r="I507"/>
      <c r="J507"/>
      <c r="K507"/>
      <c r="L507"/>
      <c r="M507"/>
    </row>
    <row r="508" spans="1:13" ht="15" x14ac:dyDescent="0.2">
      <c r="A508"/>
      <c r="B508"/>
      <c r="C508"/>
      <c r="D508"/>
      <c r="E508"/>
      <c r="F508"/>
      <c r="G508"/>
      <c r="H508"/>
      <c r="I508"/>
      <c r="J508"/>
      <c r="K508"/>
      <c r="L508"/>
      <c r="M508"/>
    </row>
    <row r="509" spans="1:13" ht="15" x14ac:dyDescent="0.2">
      <c r="A509"/>
      <c r="B509"/>
      <c r="C509"/>
      <c r="D509"/>
      <c r="E509"/>
      <c r="F509"/>
      <c r="G509"/>
      <c r="H509"/>
      <c r="I509"/>
      <c r="J509"/>
      <c r="K509"/>
      <c r="L509"/>
      <c r="M509"/>
    </row>
    <row r="510" spans="1:13" ht="15" x14ac:dyDescent="0.2">
      <c r="A510"/>
      <c r="B510"/>
      <c r="C510"/>
      <c r="D510"/>
      <c r="E510"/>
      <c r="F510"/>
      <c r="G510"/>
      <c r="H510"/>
      <c r="I510"/>
      <c r="J510"/>
      <c r="K510"/>
      <c r="L510"/>
      <c r="M510"/>
    </row>
    <row r="511" spans="1:13" ht="15" x14ac:dyDescent="0.2">
      <c r="A511"/>
      <c r="B511"/>
      <c r="C511"/>
      <c r="D511"/>
      <c r="E511"/>
      <c r="F511"/>
      <c r="G511"/>
      <c r="H511"/>
      <c r="I511"/>
      <c r="J511"/>
      <c r="K511"/>
      <c r="L511"/>
      <c r="M511"/>
    </row>
    <row r="512" spans="1:13" ht="15" x14ac:dyDescent="0.2">
      <c r="A512"/>
      <c r="B512"/>
      <c r="C512"/>
      <c r="D512"/>
      <c r="E512"/>
      <c r="F512"/>
      <c r="G512"/>
      <c r="H512"/>
      <c r="I512"/>
      <c r="J512"/>
      <c r="K512"/>
      <c r="L512"/>
      <c r="M512"/>
    </row>
    <row r="513" spans="1:13" ht="15" x14ac:dyDescent="0.2">
      <c r="A513"/>
      <c r="B513"/>
      <c r="C513"/>
      <c r="D513"/>
      <c r="E513"/>
      <c r="F513"/>
      <c r="G513"/>
      <c r="H513"/>
      <c r="I513"/>
      <c r="J513"/>
      <c r="K513"/>
      <c r="L513"/>
      <c r="M513"/>
    </row>
    <row r="514" spans="1:13" ht="15" x14ac:dyDescent="0.2">
      <c r="A514"/>
      <c r="B514"/>
      <c r="C514"/>
      <c r="D514"/>
      <c r="E514"/>
      <c r="F514"/>
      <c r="G514"/>
      <c r="H514"/>
      <c r="I514"/>
      <c r="J514"/>
      <c r="K514"/>
      <c r="L514"/>
      <c r="M514"/>
    </row>
    <row r="515" spans="1:13" ht="15" x14ac:dyDescent="0.2">
      <c r="A515"/>
      <c r="B515"/>
      <c r="C515"/>
      <c r="D515"/>
      <c r="E515"/>
      <c r="F515"/>
      <c r="G515"/>
      <c r="H515"/>
      <c r="I515"/>
      <c r="J515"/>
      <c r="K515"/>
      <c r="L515"/>
      <c r="M515"/>
    </row>
    <row r="516" spans="1:13" ht="15" x14ac:dyDescent="0.2">
      <c r="A516"/>
      <c r="B516"/>
      <c r="C516"/>
      <c r="D516"/>
      <c r="E516"/>
      <c r="F516"/>
      <c r="G516"/>
      <c r="H516"/>
      <c r="I516"/>
      <c r="J516"/>
      <c r="K516"/>
      <c r="L516"/>
      <c r="M516"/>
    </row>
    <row r="517" spans="1:13" ht="15" x14ac:dyDescent="0.2">
      <c r="A517"/>
      <c r="B517"/>
      <c r="C517"/>
      <c r="D517"/>
      <c r="E517"/>
      <c r="F517"/>
      <c r="G517"/>
      <c r="H517"/>
      <c r="I517"/>
      <c r="J517"/>
      <c r="K517"/>
      <c r="L517"/>
      <c r="M517"/>
    </row>
    <row r="518" spans="1:13" ht="15" x14ac:dyDescent="0.2">
      <c r="A518"/>
      <c r="B518"/>
      <c r="C518"/>
      <c r="D518"/>
      <c r="E518"/>
      <c r="F518"/>
      <c r="G518"/>
      <c r="H518"/>
      <c r="I518"/>
      <c r="J518"/>
      <c r="K518"/>
      <c r="L518"/>
      <c r="M518"/>
    </row>
    <row r="519" spans="1:13" ht="15" x14ac:dyDescent="0.2">
      <c r="A519"/>
      <c r="B519"/>
      <c r="C519"/>
      <c r="D519"/>
      <c r="E519"/>
      <c r="F519"/>
      <c r="G519"/>
      <c r="H519"/>
      <c r="I519"/>
      <c r="J519"/>
      <c r="K519"/>
      <c r="L519"/>
      <c r="M519"/>
    </row>
    <row r="520" spans="1:13" ht="15" x14ac:dyDescent="0.2">
      <c r="A520"/>
      <c r="B520"/>
      <c r="C520"/>
      <c r="D520"/>
      <c r="E520"/>
      <c r="F520"/>
      <c r="G520"/>
      <c r="H520"/>
      <c r="I520"/>
      <c r="J520"/>
      <c r="K520"/>
      <c r="L520"/>
      <c r="M520"/>
    </row>
    <row r="521" spans="1:13" ht="15" x14ac:dyDescent="0.2">
      <c r="A521"/>
      <c r="B521"/>
      <c r="C521"/>
      <c r="D521"/>
      <c r="E521"/>
      <c r="F521"/>
      <c r="G521"/>
      <c r="H521"/>
      <c r="I521"/>
      <c r="J521"/>
      <c r="K521"/>
      <c r="L521"/>
      <c r="M521"/>
    </row>
    <row r="522" spans="1:13" ht="15" x14ac:dyDescent="0.2">
      <c r="A522"/>
      <c r="B522"/>
      <c r="C522"/>
      <c r="D522"/>
      <c r="E522"/>
      <c r="F522"/>
      <c r="G522"/>
      <c r="H522"/>
      <c r="I522"/>
      <c r="J522"/>
      <c r="K522"/>
      <c r="L522"/>
      <c r="M522"/>
    </row>
    <row r="523" spans="1:13" ht="15" x14ac:dyDescent="0.2">
      <c r="A523"/>
      <c r="B523"/>
      <c r="C523"/>
      <c r="D523"/>
      <c r="E523"/>
      <c r="F523"/>
      <c r="G523"/>
      <c r="H523"/>
      <c r="I523"/>
      <c r="J523"/>
      <c r="K523"/>
      <c r="L523"/>
      <c r="M523"/>
    </row>
    <row r="524" spans="1:13" ht="15" x14ac:dyDescent="0.2">
      <c r="A524"/>
      <c r="B524"/>
      <c r="C524"/>
      <c r="D524"/>
      <c r="E524"/>
      <c r="F524"/>
      <c r="G524"/>
      <c r="H524"/>
      <c r="I524"/>
      <c r="J524"/>
      <c r="K524"/>
      <c r="L524"/>
      <c r="M524"/>
    </row>
    <row r="525" spans="1:13" ht="15" x14ac:dyDescent="0.2">
      <c r="A525"/>
      <c r="B525"/>
      <c r="C525"/>
      <c r="D525"/>
      <c r="E525"/>
      <c r="F525"/>
      <c r="G525"/>
      <c r="H525"/>
      <c r="I525"/>
      <c r="J525"/>
      <c r="K525"/>
      <c r="L525"/>
      <c r="M525"/>
    </row>
    <row r="526" spans="1:13" ht="15" x14ac:dyDescent="0.2">
      <c r="A526"/>
      <c r="B526"/>
      <c r="C526"/>
      <c r="D526"/>
      <c r="E526"/>
      <c r="F526"/>
      <c r="G526"/>
      <c r="H526"/>
      <c r="I526"/>
      <c r="J526"/>
      <c r="K526"/>
      <c r="L526"/>
      <c r="M526"/>
    </row>
    <row r="527" spans="1:13" ht="15" x14ac:dyDescent="0.2">
      <c r="A527"/>
      <c r="B527"/>
      <c r="C527"/>
      <c r="D527"/>
      <c r="E527"/>
      <c r="F527"/>
      <c r="G527"/>
      <c r="H527"/>
      <c r="I527"/>
      <c r="J527"/>
      <c r="K527"/>
      <c r="L527"/>
      <c r="M527"/>
    </row>
    <row r="528" spans="1:13" ht="15" x14ac:dyDescent="0.2">
      <c r="A528"/>
      <c r="B528"/>
      <c r="C528"/>
      <c r="D528"/>
      <c r="E528"/>
      <c r="F528"/>
      <c r="G528"/>
      <c r="H528"/>
      <c r="I528"/>
      <c r="J528"/>
      <c r="K528"/>
      <c r="L528"/>
      <c r="M528"/>
    </row>
    <row r="529" spans="1:13" ht="15" x14ac:dyDescent="0.2">
      <c r="A529"/>
      <c r="B529"/>
      <c r="C529"/>
      <c r="D529"/>
      <c r="E529"/>
      <c r="F529"/>
      <c r="G529"/>
      <c r="H529"/>
      <c r="I529"/>
      <c r="J529"/>
      <c r="K529"/>
      <c r="L529"/>
      <c r="M529"/>
    </row>
    <row r="530" spans="1:13" ht="15" x14ac:dyDescent="0.2">
      <c r="A530"/>
      <c r="B530"/>
      <c r="C530"/>
      <c r="D530"/>
      <c r="E530"/>
      <c r="F530"/>
      <c r="G530"/>
      <c r="H530"/>
      <c r="I530"/>
      <c r="J530"/>
      <c r="K530"/>
      <c r="L530"/>
      <c r="M530"/>
    </row>
    <row r="531" spans="1:13" ht="15" x14ac:dyDescent="0.2">
      <c r="A531"/>
      <c r="B531"/>
      <c r="C531"/>
      <c r="D531"/>
      <c r="E531"/>
      <c r="F531"/>
      <c r="G531"/>
      <c r="H531"/>
      <c r="I531"/>
      <c r="J531"/>
      <c r="K531"/>
      <c r="L531"/>
      <c r="M531"/>
    </row>
    <row r="532" spans="1:13" ht="15" x14ac:dyDescent="0.2">
      <c r="A532"/>
      <c r="B532"/>
      <c r="C532"/>
      <c r="D532"/>
      <c r="E532"/>
      <c r="F532"/>
      <c r="G532"/>
      <c r="H532"/>
      <c r="I532"/>
      <c r="J532"/>
      <c r="K532"/>
      <c r="L532"/>
      <c r="M532"/>
    </row>
    <row r="533" spans="1:13" ht="15" x14ac:dyDescent="0.2">
      <c r="A533"/>
      <c r="B533"/>
      <c r="C533"/>
      <c r="D533"/>
      <c r="E533"/>
      <c r="F533"/>
      <c r="G533"/>
      <c r="H533"/>
      <c r="I533"/>
      <c r="J533"/>
      <c r="K533"/>
      <c r="L533"/>
      <c r="M533"/>
    </row>
    <row r="534" spans="1:13" ht="15" x14ac:dyDescent="0.2">
      <c r="A534"/>
      <c r="B534"/>
      <c r="C534"/>
      <c r="D534"/>
      <c r="E534"/>
      <c r="F534"/>
      <c r="G534"/>
      <c r="H534"/>
      <c r="I534"/>
      <c r="J534"/>
      <c r="K534"/>
      <c r="L534"/>
      <c r="M534"/>
    </row>
    <row r="535" spans="1:13" ht="15" x14ac:dyDescent="0.2">
      <c r="A535"/>
      <c r="B535"/>
      <c r="C535"/>
      <c r="D535"/>
      <c r="E535"/>
      <c r="F535"/>
      <c r="G535"/>
      <c r="H535"/>
      <c r="I535"/>
      <c r="J535"/>
      <c r="K535"/>
      <c r="L535"/>
      <c r="M535"/>
    </row>
    <row r="536" spans="1:13" ht="15" x14ac:dyDescent="0.2">
      <c r="A536"/>
      <c r="B536"/>
      <c r="C536"/>
      <c r="D536"/>
      <c r="E536"/>
      <c r="F536"/>
      <c r="G536"/>
      <c r="H536"/>
      <c r="I536"/>
      <c r="J536"/>
      <c r="K536"/>
      <c r="L536"/>
      <c r="M536"/>
    </row>
    <row r="537" spans="1:13" ht="15" x14ac:dyDescent="0.2">
      <c r="A537"/>
      <c r="B537"/>
      <c r="C537"/>
      <c r="D537"/>
      <c r="E537"/>
      <c r="F537"/>
      <c r="G537"/>
      <c r="H537"/>
      <c r="I537"/>
      <c r="J537"/>
      <c r="K537"/>
      <c r="L537"/>
      <c r="M537"/>
    </row>
    <row r="538" spans="1:13" ht="15" x14ac:dyDescent="0.2">
      <c r="A538"/>
      <c r="B538"/>
      <c r="C538"/>
      <c r="D538"/>
      <c r="E538"/>
      <c r="F538"/>
      <c r="G538"/>
      <c r="H538"/>
      <c r="I538"/>
      <c r="J538"/>
      <c r="K538"/>
      <c r="L538"/>
      <c r="M538"/>
    </row>
    <row r="539" spans="1:13" ht="15" x14ac:dyDescent="0.2">
      <c r="A539"/>
      <c r="B539"/>
      <c r="C539"/>
      <c r="D539"/>
      <c r="E539"/>
      <c r="F539"/>
      <c r="G539"/>
      <c r="H539"/>
      <c r="I539"/>
      <c r="J539"/>
      <c r="K539"/>
      <c r="L539"/>
      <c r="M539"/>
    </row>
    <row r="540" spans="1:13" ht="15" x14ac:dyDescent="0.2">
      <c r="A540"/>
      <c r="B540"/>
      <c r="C540"/>
      <c r="D540"/>
      <c r="E540"/>
      <c r="F540"/>
      <c r="G540"/>
      <c r="H540"/>
      <c r="I540"/>
      <c r="J540"/>
      <c r="K540"/>
      <c r="L540"/>
      <c r="M540"/>
    </row>
    <row r="541" spans="1:13" ht="15" x14ac:dyDescent="0.2">
      <c r="A541"/>
      <c r="B541"/>
      <c r="C541"/>
      <c r="D541"/>
      <c r="E541"/>
      <c r="F541"/>
      <c r="G541"/>
      <c r="H541"/>
      <c r="I541"/>
      <c r="J541"/>
      <c r="K541"/>
      <c r="L541"/>
      <c r="M541"/>
    </row>
    <row r="542" spans="1:13" ht="15" x14ac:dyDescent="0.2">
      <c r="A542"/>
      <c r="B542"/>
      <c r="C542"/>
      <c r="D542"/>
      <c r="E542"/>
      <c r="F542"/>
      <c r="G542"/>
      <c r="H542"/>
      <c r="I542"/>
      <c r="J542"/>
      <c r="K542"/>
      <c r="L542"/>
      <c r="M542"/>
    </row>
    <row r="543" spans="1:13" ht="15" x14ac:dyDescent="0.2">
      <c r="A543"/>
      <c r="B543"/>
      <c r="C543"/>
      <c r="D543"/>
      <c r="E543"/>
      <c r="F543"/>
      <c r="G543"/>
      <c r="H543"/>
      <c r="I543"/>
      <c r="J543"/>
      <c r="K543"/>
      <c r="L543"/>
      <c r="M543"/>
    </row>
    <row r="544" spans="1:13" ht="15" x14ac:dyDescent="0.2">
      <c r="A544"/>
      <c r="B544"/>
      <c r="C544"/>
      <c r="D544"/>
      <c r="E544"/>
      <c r="F544"/>
      <c r="G544"/>
      <c r="H544"/>
      <c r="I544"/>
      <c r="J544"/>
      <c r="K544"/>
      <c r="L544"/>
      <c r="M544"/>
    </row>
    <row r="545" spans="1:13" ht="15" x14ac:dyDescent="0.2">
      <c r="A545"/>
      <c r="B545"/>
      <c r="C545"/>
      <c r="D545"/>
      <c r="E545"/>
      <c r="F545"/>
      <c r="G545"/>
      <c r="H545"/>
      <c r="I545"/>
      <c r="J545"/>
      <c r="K545"/>
      <c r="L545"/>
      <c r="M545"/>
    </row>
    <row r="546" spans="1:13" ht="15" x14ac:dyDescent="0.2">
      <c r="A546"/>
      <c r="B546"/>
      <c r="C546"/>
      <c r="D546"/>
      <c r="E546"/>
      <c r="F546"/>
      <c r="G546"/>
      <c r="H546"/>
      <c r="I546"/>
      <c r="J546"/>
      <c r="K546"/>
      <c r="L546"/>
      <c r="M546"/>
    </row>
    <row r="547" spans="1:13" ht="15" x14ac:dyDescent="0.2">
      <c r="A547"/>
      <c r="B547"/>
      <c r="C547"/>
      <c r="D547"/>
      <c r="E547"/>
      <c r="F547"/>
      <c r="G547"/>
      <c r="H547"/>
      <c r="I547"/>
      <c r="J547"/>
      <c r="K547"/>
      <c r="L547"/>
      <c r="M547"/>
    </row>
    <row r="548" spans="1:13" ht="15" x14ac:dyDescent="0.2">
      <c r="A548"/>
      <c r="B548"/>
      <c r="C548"/>
      <c r="D548"/>
      <c r="E548"/>
      <c r="F548"/>
      <c r="G548"/>
      <c r="H548"/>
      <c r="I548"/>
      <c r="J548"/>
      <c r="K548"/>
      <c r="L548"/>
      <c r="M548"/>
    </row>
    <row r="549" spans="1:13" ht="15" x14ac:dyDescent="0.2">
      <c r="A549"/>
      <c r="B549"/>
      <c r="C549"/>
      <c r="D549"/>
      <c r="E549"/>
      <c r="F549"/>
      <c r="G549"/>
      <c r="H549"/>
      <c r="I549"/>
      <c r="J549"/>
      <c r="K549"/>
      <c r="L549"/>
      <c r="M549"/>
    </row>
    <row r="550" spans="1:13" ht="15" x14ac:dyDescent="0.2">
      <c r="A550"/>
      <c r="B550"/>
      <c r="C550"/>
      <c r="D550"/>
      <c r="E550"/>
      <c r="F550"/>
      <c r="G550"/>
      <c r="H550"/>
      <c r="I550"/>
      <c r="J550"/>
      <c r="K550"/>
      <c r="L550"/>
      <c r="M550"/>
    </row>
    <row r="551" spans="1:13" ht="15" x14ac:dyDescent="0.2">
      <c r="A551"/>
      <c r="B551"/>
      <c r="C551"/>
      <c r="D551"/>
      <c r="E551"/>
      <c r="F551"/>
      <c r="G551"/>
      <c r="H551"/>
      <c r="I551"/>
      <c r="J551"/>
      <c r="K551"/>
      <c r="L551"/>
      <c r="M551"/>
    </row>
    <row r="552" spans="1:13" ht="15" x14ac:dyDescent="0.2">
      <c r="A552"/>
      <c r="B552"/>
      <c r="C552"/>
      <c r="D552"/>
      <c r="E552"/>
      <c r="F552"/>
      <c r="G552"/>
      <c r="H552"/>
      <c r="I552"/>
      <c r="J552"/>
      <c r="K552"/>
      <c r="L552"/>
      <c r="M552"/>
    </row>
    <row r="553" spans="1:13" ht="15" x14ac:dyDescent="0.2">
      <c r="A553"/>
      <c r="B553"/>
      <c r="C553"/>
      <c r="D553"/>
      <c r="E553"/>
      <c r="F553"/>
      <c r="G553"/>
      <c r="H553"/>
      <c r="I553"/>
      <c r="J553"/>
      <c r="K553"/>
      <c r="L553"/>
      <c r="M553"/>
    </row>
    <row r="554" spans="1:13" ht="15" x14ac:dyDescent="0.2">
      <c r="A554"/>
      <c r="B554"/>
      <c r="C554"/>
      <c r="D554"/>
      <c r="E554"/>
      <c r="F554"/>
      <c r="G554"/>
      <c r="H554"/>
      <c r="I554"/>
      <c r="J554"/>
      <c r="K554"/>
      <c r="L554"/>
      <c r="M554"/>
    </row>
    <row r="555" spans="1:13" ht="15" x14ac:dyDescent="0.2">
      <c r="A555"/>
      <c r="B555"/>
      <c r="C555"/>
      <c r="D555"/>
      <c r="E555"/>
      <c r="F555"/>
      <c r="G555"/>
      <c r="H555"/>
      <c r="I555"/>
      <c r="J555"/>
      <c r="K555"/>
      <c r="L555"/>
      <c r="M555"/>
    </row>
    <row r="556" spans="1:13" ht="15" x14ac:dyDescent="0.2">
      <c r="A556"/>
      <c r="B556"/>
      <c r="C556"/>
      <c r="D556"/>
      <c r="E556"/>
      <c r="F556"/>
      <c r="G556"/>
      <c r="H556"/>
      <c r="I556"/>
      <c r="J556"/>
      <c r="K556"/>
      <c r="L556"/>
      <c r="M556"/>
    </row>
    <row r="557" spans="1:13" ht="15" x14ac:dyDescent="0.2">
      <c r="A557"/>
      <c r="B557"/>
      <c r="C557"/>
      <c r="D557"/>
      <c r="E557"/>
      <c r="F557"/>
      <c r="G557"/>
      <c r="H557"/>
      <c r="I557"/>
      <c r="J557"/>
      <c r="K557"/>
      <c r="L557"/>
      <c r="M557"/>
    </row>
    <row r="558" spans="1:13" ht="15" x14ac:dyDescent="0.2">
      <c r="A558"/>
      <c r="B558"/>
      <c r="C558"/>
      <c r="D558"/>
      <c r="E558"/>
      <c r="F558"/>
      <c r="G558"/>
      <c r="H558"/>
      <c r="I558"/>
      <c r="J558"/>
      <c r="K558"/>
      <c r="L558"/>
      <c r="M558"/>
    </row>
    <row r="559" spans="1:13" ht="15" x14ac:dyDescent="0.2">
      <c r="A559"/>
      <c r="B559"/>
      <c r="C559"/>
      <c r="D559"/>
      <c r="E559"/>
      <c r="F559"/>
      <c r="G559"/>
      <c r="H559"/>
      <c r="I559"/>
      <c r="J559"/>
      <c r="K559"/>
      <c r="L559"/>
      <c r="M559"/>
    </row>
    <row r="560" spans="1:13" ht="15" x14ac:dyDescent="0.2">
      <c r="A560"/>
      <c r="B560"/>
      <c r="C560"/>
      <c r="D560"/>
      <c r="E560"/>
      <c r="F560"/>
      <c r="G560"/>
      <c r="H560"/>
      <c r="I560"/>
      <c r="J560"/>
      <c r="K560"/>
      <c r="L560"/>
      <c r="M560"/>
    </row>
  </sheetData>
  <mergeCells count="3">
    <mergeCell ref="A3:B3"/>
    <mergeCell ref="M82:P82"/>
    <mergeCell ref="A224:G224"/>
  </mergeCells>
  <phoneticPr fontId="38" type="noConversion"/>
  <conditionalFormatting sqref="L1:L18 L20:L44 L47:L64 L69:L90 L93:L130 L133:L134 L137:L223 L561:L1048576">
    <cfRule type="cellIs" dxfId="1" priority="2" operator="greaterThan">
      <formula>0</formula>
    </cfRule>
    <cfRule type="cellIs" dxfId="0" priority="3" operator="lessThan">
      <formula>0</formula>
    </cfRule>
  </conditionalFormatting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27"/>
  <sheetViews>
    <sheetView rightToLeft="1" zoomScale="200" zoomScaleNormal="200" workbookViewId="0">
      <pane xSplit="4" ySplit="3" topLeftCell="E295" activePane="bottomRight" state="frozen"/>
      <selection pane="topRight" activeCell="E1" sqref="E1"/>
      <selection pane="bottomLeft" activeCell="A64" sqref="A64"/>
      <selection pane="bottomRight" activeCell="F81" sqref="F81"/>
    </sheetView>
  </sheetViews>
  <sheetFormatPr baseColWidth="10" defaultColWidth="8.83203125" defaultRowHeight="15" customHeight="1" x14ac:dyDescent="0.25"/>
  <cols>
    <col min="1" max="1" width="3.5" style="293" customWidth="1"/>
    <col min="2" max="2" width="7.6640625" style="293" hidden="1" customWidth="1"/>
    <col min="3" max="3" width="9.33203125" style="293" hidden="1" customWidth="1"/>
    <col min="4" max="4" width="43.1640625" style="293" customWidth="1"/>
    <col min="5" max="5" width="32.6640625" style="341" customWidth="1"/>
    <col min="6" max="6" width="17.1640625" style="293" customWidth="1"/>
    <col min="7" max="7" width="14" style="293" customWidth="1"/>
    <col min="8" max="8" width="17.1640625" style="293" customWidth="1"/>
    <col min="9" max="9" width="14" style="343" customWidth="1"/>
    <col min="10" max="10" width="16.5" style="343" customWidth="1"/>
    <col min="11" max="11" width="19" style="343" customWidth="1"/>
    <col min="12" max="12" width="16" style="343" customWidth="1"/>
    <col min="13" max="13" width="11.6640625" style="343" customWidth="1"/>
    <col min="14" max="14" width="15.83203125" style="293" customWidth="1"/>
    <col min="15" max="15" width="15.1640625" style="293" customWidth="1"/>
    <col min="16" max="16" width="14" style="293" customWidth="1"/>
    <col min="17" max="17" width="15.1640625" style="293" customWidth="1"/>
    <col min="18" max="18" width="11.6640625" style="343" customWidth="1"/>
    <col min="19" max="19" width="11.6640625" style="293" customWidth="1"/>
    <col min="20" max="20" width="13.83203125" style="293" customWidth="1"/>
    <col min="21" max="24" width="11.6640625" style="293" customWidth="1"/>
    <col min="25" max="25" width="8.5" style="293" customWidth="1"/>
    <col min="26" max="16384" width="8.83203125" style="293"/>
  </cols>
  <sheetData>
    <row r="1" spans="1:25" ht="22" customHeight="1" x14ac:dyDescent="0.25">
      <c r="A1" s="362" t="s">
        <v>240</v>
      </c>
      <c r="B1" s="362"/>
      <c r="C1" s="362"/>
      <c r="D1" s="362"/>
      <c r="E1" s="288" t="s">
        <v>241</v>
      </c>
      <c r="F1" s="289" t="s">
        <v>241</v>
      </c>
      <c r="G1" s="288" t="s">
        <v>241</v>
      </c>
      <c r="H1" s="289" t="s">
        <v>241</v>
      </c>
      <c r="I1" s="290" t="s">
        <v>241</v>
      </c>
      <c r="J1" s="291" t="s">
        <v>325</v>
      </c>
      <c r="K1" s="290" t="s">
        <v>326</v>
      </c>
      <c r="L1" s="291" t="s">
        <v>241</v>
      </c>
      <c r="M1" s="290" t="s">
        <v>328</v>
      </c>
      <c r="N1" s="291" t="s">
        <v>241</v>
      </c>
      <c r="O1" s="290" t="s">
        <v>328</v>
      </c>
      <c r="P1" s="289"/>
      <c r="Q1" s="292"/>
      <c r="R1" s="291"/>
      <c r="S1" s="291"/>
      <c r="T1" s="291"/>
      <c r="U1" s="292"/>
      <c r="V1" s="289"/>
      <c r="W1" s="292"/>
      <c r="X1" s="289"/>
      <c r="Y1" s="363" t="s">
        <v>230</v>
      </c>
    </row>
    <row r="2" spans="1:25" s="298" customFormat="1" ht="22" customHeight="1" x14ac:dyDescent="0.25">
      <c r="A2" s="364" t="s">
        <v>242</v>
      </c>
      <c r="B2" s="364"/>
      <c r="C2" s="364"/>
      <c r="D2" s="364"/>
      <c r="E2" s="294">
        <v>46362</v>
      </c>
      <c r="F2" s="295" t="s">
        <v>339</v>
      </c>
      <c r="G2" s="294"/>
      <c r="H2" s="295"/>
      <c r="I2" s="294"/>
      <c r="J2" s="296"/>
      <c r="K2" s="294"/>
      <c r="L2" s="296"/>
      <c r="M2" s="294"/>
      <c r="N2" s="296"/>
      <c r="O2" s="297"/>
      <c r="P2" s="295"/>
      <c r="Q2" s="297"/>
      <c r="R2" s="296"/>
      <c r="S2" s="297"/>
      <c r="T2" s="295"/>
      <c r="U2" s="297"/>
      <c r="V2" s="295"/>
      <c r="W2" s="297"/>
      <c r="X2" s="295"/>
      <c r="Y2" s="363"/>
    </row>
    <row r="3" spans="1:25" ht="19" x14ac:dyDescent="0.25">
      <c r="A3" s="299"/>
      <c r="B3" s="299" t="s">
        <v>243</v>
      </c>
      <c r="C3" s="299" t="s">
        <v>244</v>
      </c>
      <c r="D3" s="299" t="s">
        <v>4</v>
      </c>
      <c r="E3" s="288"/>
      <c r="F3" s="289"/>
      <c r="G3" s="292"/>
      <c r="H3" s="289"/>
      <c r="I3" s="290"/>
      <c r="J3" s="291"/>
      <c r="K3" s="290"/>
      <c r="L3" s="291"/>
      <c r="M3" s="290"/>
      <c r="N3" s="289"/>
      <c r="O3" s="292"/>
      <c r="P3" s="289"/>
      <c r="Q3" s="292"/>
      <c r="R3" s="291"/>
      <c r="S3" s="292"/>
      <c r="T3" s="289"/>
      <c r="U3" s="292"/>
      <c r="V3" s="289"/>
      <c r="W3" s="292"/>
      <c r="X3" s="289"/>
      <c r="Y3" s="363"/>
    </row>
    <row r="4" spans="1:25" ht="19" x14ac:dyDescent="0.25">
      <c r="A4" s="91">
        <v>1</v>
      </c>
      <c r="B4" s="91"/>
      <c r="C4" s="91"/>
      <c r="D4" s="73" t="s">
        <v>9</v>
      </c>
      <c r="E4" s="288">
        <v>150</v>
      </c>
      <c r="F4" s="300"/>
      <c r="G4" s="301"/>
      <c r="H4" s="300"/>
      <c r="I4" s="302"/>
      <c r="J4" s="303"/>
      <c r="K4" s="290"/>
      <c r="L4" s="291"/>
      <c r="M4" s="290"/>
      <c r="N4" s="289"/>
      <c r="O4" s="292"/>
      <c r="P4" s="300"/>
      <c r="Q4" s="292"/>
      <c r="R4" s="291"/>
      <c r="S4" s="292"/>
      <c r="T4" s="289"/>
      <c r="U4" s="292"/>
      <c r="V4" s="289"/>
      <c r="W4" s="292"/>
      <c r="X4" s="289"/>
      <c r="Y4" s="304">
        <f t="shared" ref="Y4:Y75" si="0">SUM(E4:X4)</f>
        <v>150</v>
      </c>
    </row>
    <row r="5" spans="1:25" ht="19" x14ac:dyDescent="0.25">
      <c r="A5" s="91">
        <v>2</v>
      </c>
      <c r="B5" s="91"/>
      <c r="C5" s="91"/>
      <c r="D5" s="73" t="s">
        <v>10</v>
      </c>
      <c r="E5" s="305">
        <v>50</v>
      </c>
      <c r="F5" s="306"/>
      <c r="G5" s="307"/>
      <c r="H5" s="306"/>
      <c r="I5" s="308"/>
      <c r="J5" s="309"/>
      <c r="K5" s="310"/>
      <c r="L5" s="311"/>
      <c r="M5" s="310"/>
      <c r="N5" s="312"/>
      <c r="O5" s="307"/>
      <c r="P5" s="306"/>
      <c r="Q5" s="307"/>
      <c r="R5" s="311"/>
      <c r="S5" s="307"/>
      <c r="T5" s="312"/>
      <c r="U5" s="307"/>
      <c r="V5" s="312"/>
      <c r="W5" s="307"/>
      <c r="X5" s="312"/>
      <c r="Y5" s="304">
        <f t="shared" si="0"/>
        <v>50</v>
      </c>
    </row>
    <row r="6" spans="1:25" ht="19" x14ac:dyDescent="0.25">
      <c r="A6" s="91">
        <v>3</v>
      </c>
      <c r="B6" s="91"/>
      <c r="C6" s="91"/>
      <c r="D6" s="73" t="s">
        <v>11</v>
      </c>
      <c r="E6" s="305">
        <v>150</v>
      </c>
      <c r="F6" s="306"/>
      <c r="G6" s="307"/>
      <c r="H6" s="306"/>
      <c r="I6" s="308"/>
      <c r="J6" s="309"/>
      <c r="K6" s="310"/>
      <c r="L6" s="311"/>
      <c r="M6" s="310"/>
      <c r="N6" s="312"/>
      <c r="O6" s="307"/>
      <c r="P6" s="306"/>
      <c r="Q6" s="307"/>
      <c r="R6" s="311"/>
      <c r="S6" s="307"/>
      <c r="T6" s="312"/>
      <c r="U6" s="307"/>
      <c r="V6" s="312"/>
      <c r="W6" s="307"/>
      <c r="X6" s="312"/>
      <c r="Y6" s="304">
        <f t="shared" si="0"/>
        <v>150</v>
      </c>
    </row>
    <row r="7" spans="1:25" ht="19" x14ac:dyDescent="0.25">
      <c r="A7" s="91">
        <v>4</v>
      </c>
      <c r="B7" s="91"/>
      <c r="C7" s="91"/>
      <c r="D7" s="73" t="s">
        <v>12</v>
      </c>
      <c r="E7" s="305">
        <v>40</v>
      </c>
      <c r="F7" s="312"/>
      <c r="G7" s="301"/>
      <c r="H7" s="312"/>
      <c r="I7" s="310"/>
      <c r="J7" s="311"/>
      <c r="K7" s="310"/>
      <c r="L7" s="311"/>
      <c r="M7" s="313"/>
      <c r="N7" s="312"/>
      <c r="O7" s="307"/>
      <c r="P7" s="312"/>
      <c r="Q7" s="307"/>
      <c r="R7" s="311"/>
      <c r="S7" s="307"/>
      <c r="T7" s="312"/>
      <c r="U7" s="307"/>
      <c r="V7" s="312"/>
      <c r="W7" s="307"/>
      <c r="X7" s="312"/>
      <c r="Y7" s="304">
        <f t="shared" si="0"/>
        <v>40</v>
      </c>
    </row>
    <row r="8" spans="1:25" ht="19" x14ac:dyDescent="0.25">
      <c r="A8" s="91">
        <v>5</v>
      </c>
      <c r="B8" s="91"/>
      <c r="C8" s="91"/>
      <c r="D8" s="73" t="s">
        <v>13</v>
      </c>
      <c r="E8" s="305"/>
      <c r="F8" s="312"/>
      <c r="G8" s="314"/>
      <c r="H8" s="315"/>
      <c r="I8" s="310"/>
      <c r="J8" s="311"/>
      <c r="K8" s="310"/>
      <c r="L8" s="311"/>
      <c r="M8" s="313"/>
      <c r="N8" s="312"/>
      <c r="O8" s="307"/>
      <c r="P8" s="312"/>
      <c r="Q8" s="307"/>
      <c r="R8" s="311"/>
      <c r="S8" s="307"/>
      <c r="T8" s="312"/>
      <c r="U8" s="307"/>
      <c r="V8" s="312"/>
      <c r="W8" s="307"/>
      <c r="X8" s="312"/>
      <c r="Y8" s="304">
        <f t="shared" si="0"/>
        <v>0</v>
      </c>
    </row>
    <row r="9" spans="1:25" ht="19" x14ac:dyDescent="0.25">
      <c r="A9" s="91">
        <v>6</v>
      </c>
      <c r="B9" s="91"/>
      <c r="C9" s="91"/>
      <c r="D9" s="73" t="s">
        <v>14</v>
      </c>
      <c r="E9" s="305">
        <v>40</v>
      </c>
      <c r="F9" s="312"/>
      <c r="G9" s="307"/>
      <c r="H9" s="312"/>
      <c r="I9" s="310"/>
      <c r="J9" s="311"/>
      <c r="K9" s="310"/>
      <c r="L9" s="311"/>
      <c r="M9" s="313"/>
      <c r="N9" s="312"/>
      <c r="O9" s="307"/>
      <c r="P9" s="312"/>
      <c r="Q9" s="307"/>
      <c r="R9" s="311"/>
      <c r="S9" s="307"/>
      <c r="T9" s="312"/>
      <c r="U9" s="307"/>
      <c r="V9" s="312"/>
      <c r="W9" s="307"/>
      <c r="X9" s="312"/>
      <c r="Y9" s="304">
        <f t="shared" si="0"/>
        <v>40</v>
      </c>
    </row>
    <row r="10" spans="1:25" ht="19" x14ac:dyDescent="0.25">
      <c r="A10" s="91">
        <v>7</v>
      </c>
      <c r="B10" s="91"/>
      <c r="C10" s="91"/>
      <c r="D10" s="73" t="s">
        <v>15</v>
      </c>
      <c r="E10" s="305">
        <v>60</v>
      </c>
      <c r="F10" s="312"/>
      <c r="G10" s="307"/>
      <c r="H10" s="312"/>
      <c r="I10" s="310"/>
      <c r="J10" s="311"/>
      <c r="K10" s="310"/>
      <c r="L10" s="311"/>
      <c r="M10" s="313"/>
      <c r="N10" s="312"/>
      <c r="O10" s="307"/>
      <c r="P10" s="312"/>
      <c r="Q10" s="307"/>
      <c r="R10" s="311"/>
      <c r="S10" s="307"/>
      <c r="T10" s="312"/>
      <c r="U10" s="307"/>
      <c r="V10" s="312"/>
      <c r="W10" s="307"/>
      <c r="X10" s="312"/>
      <c r="Y10" s="304">
        <f t="shared" si="0"/>
        <v>60</v>
      </c>
    </row>
    <row r="11" spans="1:25" ht="19" x14ac:dyDescent="0.25">
      <c r="A11" s="316">
        <v>8</v>
      </c>
      <c r="B11" s="316"/>
      <c r="C11" s="316"/>
      <c r="D11" s="74" t="s">
        <v>16</v>
      </c>
      <c r="E11" s="305"/>
      <c r="F11" s="312"/>
      <c r="G11" s="307"/>
      <c r="H11" s="312"/>
      <c r="I11" s="310"/>
      <c r="J11" s="311"/>
      <c r="K11" s="310"/>
      <c r="L11" s="311"/>
      <c r="M11" s="313"/>
      <c r="N11" s="312"/>
      <c r="O11" s="307"/>
      <c r="P11" s="312"/>
      <c r="Q11" s="307"/>
      <c r="R11" s="311"/>
      <c r="S11" s="307"/>
      <c r="T11" s="312"/>
      <c r="U11" s="307"/>
      <c r="V11" s="312"/>
      <c r="W11" s="307"/>
      <c r="X11" s="312"/>
      <c r="Y11" s="304">
        <f t="shared" si="0"/>
        <v>0</v>
      </c>
    </row>
    <row r="12" spans="1:25" ht="19" x14ac:dyDescent="0.25">
      <c r="A12" s="316">
        <v>9</v>
      </c>
      <c r="B12" s="316"/>
      <c r="C12" s="316"/>
      <c r="D12" s="74" t="s">
        <v>17</v>
      </c>
      <c r="E12" s="305"/>
      <c r="F12" s="312"/>
      <c r="G12" s="307"/>
      <c r="H12" s="312"/>
      <c r="I12" s="310"/>
      <c r="J12" s="311"/>
      <c r="K12" s="310"/>
      <c r="L12" s="311"/>
      <c r="M12" s="313"/>
      <c r="N12" s="312"/>
      <c r="O12" s="307"/>
      <c r="P12" s="312"/>
      <c r="Q12" s="307"/>
      <c r="R12" s="311"/>
      <c r="S12" s="307"/>
      <c r="T12" s="312"/>
      <c r="U12" s="307"/>
      <c r="V12" s="312"/>
      <c r="W12" s="307"/>
      <c r="X12" s="312"/>
      <c r="Y12" s="304">
        <f t="shared" si="0"/>
        <v>0</v>
      </c>
    </row>
    <row r="13" spans="1:25" ht="19" x14ac:dyDescent="0.25">
      <c r="A13" s="316">
        <v>10</v>
      </c>
      <c r="B13" s="316"/>
      <c r="C13" s="316"/>
      <c r="D13" s="74" t="s">
        <v>18</v>
      </c>
      <c r="E13" s="305"/>
      <c r="F13" s="312"/>
      <c r="G13" s="307"/>
      <c r="H13" s="312"/>
      <c r="I13" s="310"/>
      <c r="J13" s="311"/>
      <c r="K13" s="310"/>
      <c r="L13" s="311"/>
      <c r="M13" s="313"/>
      <c r="N13" s="312"/>
      <c r="O13" s="307"/>
      <c r="P13" s="312"/>
      <c r="Q13" s="307"/>
      <c r="R13" s="311"/>
      <c r="S13" s="307"/>
      <c r="T13" s="312"/>
      <c r="U13" s="307"/>
      <c r="V13" s="312"/>
      <c r="W13" s="307"/>
      <c r="X13" s="312"/>
      <c r="Y13" s="304">
        <f t="shared" si="0"/>
        <v>0</v>
      </c>
    </row>
    <row r="14" spans="1:25" ht="19" x14ac:dyDescent="0.25">
      <c r="A14" s="316">
        <v>11</v>
      </c>
      <c r="B14" s="316"/>
      <c r="C14" s="316"/>
      <c r="D14" s="74" t="s">
        <v>19</v>
      </c>
      <c r="E14" s="305"/>
      <c r="F14" s="312"/>
      <c r="G14" s="307"/>
      <c r="H14" s="312"/>
      <c r="I14" s="310"/>
      <c r="J14" s="311"/>
      <c r="K14" s="310"/>
      <c r="L14" s="311"/>
      <c r="M14" s="313"/>
      <c r="N14" s="312"/>
      <c r="O14" s="307"/>
      <c r="P14" s="312"/>
      <c r="Q14" s="307"/>
      <c r="R14" s="311"/>
      <c r="S14" s="307"/>
      <c r="T14" s="312"/>
      <c r="U14" s="307"/>
      <c r="V14" s="312"/>
      <c r="W14" s="307"/>
      <c r="X14" s="312"/>
      <c r="Y14" s="304">
        <f t="shared" si="0"/>
        <v>0</v>
      </c>
    </row>
    <row r="15" spans="1:25" ht="19" x14ac:dyDescent="0.25">
      <c r="A15" s="317">
        <v>12</v>
      </c>
      <c r="B15" s="317"/>
      <c r="C15" s="317"/>
      <c r="D15" s="75" t="s">
        <v>20</v>
      </c>
      <c r="E15" s="305"/>
      <c r="F15" s="312"/>
      <c r="G15" s="307"/>
      <c r="H15" s="312"/>
      <c r="I15" s="310"/>
      <c r="J15" s="311"/>
      <c r="K15" s="310"/>
      <c r="L15" s="311"/>
      <c r="M15" s="313"/>
      <c r="N15" s="312"/>
      <c r="O15" s="307"/>
      <c r="P15" s="312"/>
      <c r="Q15" s="307"/>
      <c r="R15" s="311"/>
      <c r="S15" s="307"/>
      <c r="T15" s="312"/>
      <c r="U15" s="307"/>
      <c r="V15" s="312"/>
      <c r="W15" s="307"/>
      <c r="X15" s="312"/>
      <c r="Y15" s="304">
        <f t="shared" si="0"/>
        <v>0</v>
      </c>
    </row>
    <row r="16" spans="1:25" ht="19" x14ac:dyDescent="0.25">
      <c r="A16" s="317">
        <v>13</v>
      </c>
      <c r="B16" s="317"/>
      <c r="C16" s="317"/>
      <c r="D16" s="75" t="s">
        <v>21</v>
      </c>
      <c r="E16" s="305"/>
      <c r="F16" s="312"/>
      <c r="G16" s="307"/>
      <c r="H16" s="312"/>
      <c r="I16" s="310"/>
      <c r="J16" s="311"/>
      <c r="K16" s="310"/>
      <c r="L16" s="311"/>
      <c r="M16" s="313"/>
      <c r="N16" s="312"/>
      <c r="O16" s="307"/>
      <c r="P16" s="312"/>
      <c r="Q16" s="307"/>
      <c r="R16" s="311"/>
      <c r="S16" s="307"/>
      <c r="T16" s="312"/>
      <c r="U16" s="307"/>
      <c r="V16" s="312"/>
      <c r="W16" s="307"/>
      <c r="X16" s="312"/>
      <c r="Y16" s="304">
        <f t="shared" si="0"/>
        <v>0</v>
      </c>
    </row>
    <row r="17" spans="1:27" ht="19" x14ac:dyDescent="0.25">
      <c r="A17" s="317">
        <v>14</v>
      </c>
      <c r="B17" s="317"/>
      <c r="C17" s="317"/>
      <c r="D17" s="75" t="s">
        <v>22</v>
      </c>
      <c r="E17" s="305"/>
      <c r="F17" s="312"/>
      <c r="G17" s="314"/>
      <c r="H17" s="312"/>
      <c r="I17" s="310"/>
      <c r="J17" s="311"/>
      <c r="K17" s="310"/>
      <c r="L17" s="311"/>
      <c r="M17" s="313"/>
      <c r="N17" s="312"/>
      <c r="O17" s="307"/>
      <c r="P17" s="312"/>
      <c r="Q17" s="307"/>
      <c r="R17" s="311"/>
      <c r="S17" s="307"/>
      <c r="T17" s="312"/>
      <c r="U17" s="307"/>
      <c r="V17" s="312"/>
      <c r="W17" s="307"/>
      <c r="X17" s="312"/>
      <c r="Y17" s="304">
        <f t="shared" si="0"/>
        <v>0</v>
      </c>
    </row>
    <row r="18" spans="1:27" ht="19" x14ac:dyDescent="0.25">
      <c r="A18" s="317">
        <v>15</v>
      </c>
      <c r="B18" s="317"/>
      <c r="C18" s="317"/>
      <c r="D18" s="75" t="s">
        <v>23</v>
      </c>
      <c r="E18" s="305"/>
      <c r="F18" s="312"/>
      <c r="G18" s="307"/>
      <c r="H18" s="312"/>
      <c r="I18" s="310"/>
      <c r="J18" s="311"/>
      <c r="K18" s="310"/>
      <c r="L18" s="311"/>
      <c r="M18" s="310"/>
      <c r="N18" s="312"/>
      <c r="O18" s="307"/>
      <c r="P18" s="312"/>
      <c r="Q18" s="307"/>
      <c r="R18" s="311"/>
      <c r="S18" s="307"/>
      <c r="T18" s="312"/>
      <c r="U18" s="307"/>
      <c r="V18" s="312"/>
      <c r="W18" s="307"/>
      <c r="X18" s="312"/>
      <c r="Y18" s="304">
        <f t="shared" si="0"/>
        <v>0</v>
      </c>
    </row>
    <row r="19" spans="1:27" ht="19" x14ac:dyDescent="0.25">
      <c r="A19" s="299"/>
      <c r="B19" s="299" t="s">
        <v>243</v>
      </c>
      <c r="C19" s="299" t="s">
        <v>245</v>
      </c>
      <c r="D19" s="299" t="s">
        <v>24</v>
      </c>
      <c r="E19" s="305"/>
      <c r="F19" s="312"/>
      <c r="G19" s="307"/>
      <c r="H19" s="312"/>
      <c r="I19" s="310"/>
      <c r="J19" s="311"/>
      <c r="K19" s="310"/>
      <c r="L19" s="311"/>
      <c r="M19" s="310"/>
      <c r="N19" s="312"/>
      <c r="O19" s="307"/>
      <c r="P19" s="312"/>
      <c r="Q19" s="307"/>
      <c r="R19" s="311"/>
      <c r="S19" s="307"/>
      <c r="T19" s="312"/>
      <c r="U19" s="307"/>
      <c r="V19" s="312"/>
      <c r="W19" s="307"/>
      <c r="X19" s="312"/>
      <c r="Y19" s="304">
        <f t="shared" si="0"/>
        <v>0</v>
      </c>
    </row>
    <row r="20" spans="1:27" ht="19" x14ac:dyDescent="0.25">
      <c r="A20" s="318">
        <v>1</v>
      </c>
      <c r="B20" s="318"/>
      <c r="C20" s="318"/>
      <c r="D20" s="76" t="s">
        <v>25</v>
      </c>
      <c r="E20" s="305">
        <v>248</v>
      </c>
      <c r="F20" s="306"/>
      <c r="G20" s="307"/>
      <c r="H20" s="306"/>
      <c r="I20" s="310"/>
      <c r="J20" s="309"/>
      <c r="K20" s="310"/>
      <c r="L20" s="311"/>
      <c r="M20" s="310"/>
      <c r="N20" s="312"/>
      <c r="O20" s="307"/>
      <c r="P20" s="306"/>
      <c r="Q20" s="307"/>
      <c r="R20" s="311"/>
      <c r="S20" s="307"/>
      <c r="T20" s="312"/>
      <c r="U20" s="307"/>
      <c r="V20" s="312"/>
      <c r="W20" s="307"/>
      <c r="X20" s="312"/>
      <c r="Y20" s="304">
        <f t="shared" si="0"/>
        <v>248</v>
      </c>
    </row>
    <row r="21" spans="1:27" ht="19" x14ac:dyDescent="0.25">
      <c r="A21" s="318">
        <v>2</v>
      </c>
      <c r="B21" s="318"/>
      <c r="C21" s="318"/>
      <c r="D21" s="76" t="s">
        <v>26</v>
      </c>
      <c r="E21" s="305">
        <v>500</v>
      </c>
      <c r="F21" s="306"/>
      <c r="G21" s="307"/>
      <c r="H21" s="306"/>
      <c r="I21" s="308"/>
      <c r="J21" s="309"/>
      <c r="K21" s="310"/>
      <c r="L21" s="311"/>
      <c r="M21" s="310"/>
      <c r="N21" s="312"/>
      <c r="O21" s="307"/>
      <c r="P21" s="306"/>
      <c r="Q21" s="307"/>
      <c r="R21" s="311"/>
      <c r="S21" s="307"/>
      <c r="T21" s="312"/>
      <c r="U21" s="307"/>
      <c r="V21" s="312"/>
      <c r="W21" s="307"/>
      <c r="X21" s="312"/>
      <c r="Y21" s="304">
        <f t="shared" si="0"/>
        <v>500</v>
      </c>
    </row>
    <row r="22" spans="1:27" ht="19" x14ac:dyDescent="0.25">
      <c r="A22" s="318">
        <v>3</v>
      </c>
      <c r="B22" s="318"/>
      <c r="C22" s="318"/>
      <c r="D22" s="76" t="s">
        <v>27</v>
      </c>
      <c r="E22" s="305"/>
      <c r="F22" s="306">
        <v>100</v>
      </c>
      <c r="G22" s="307"/>
      <c r="H22" s="306"/>
      <c r="I22" s="310"/>
      <c r="J22" s="309"/>
      <c r="K22" s="310"/>
      <c r="L22" s="311"/>
      <c r="M22" s="310"/>
      <c r="N22" s="312"/>
      <c r="O22" s="307"/>
      <c r="P22" s="306"/>
      <c r="Q22" s="307"/>
      <c r="R22" s="311"/>
      <c r="S22" s="307"/>
      <c r="T22" s="312"/>
      <c r="U22" s="307"/>
      <c r="V22" s="312"/>
      <c r="W22" s="307"/>
      <c r="X22" s="312"/>
      <c r="Y22" s="304">
        <f t="shared" si="0"/>
        <v>100</v>
      </c>
      <c r="AA22" s="293">
        <v>2927</v>
      </c>
    </row>
    <row r="23" spans="1:27" ht="19" x14ac:dyDescent="0.25">
      <c r="A23" s="318">
        <v>4</v>
      </c>
      <c r="B23" s="318"/>
      <c r="C23" s="318"/>
      <c r="D23" s="167" t="s">
        <v>28</v>
      </c>
      <c r="E23" s="305"/>
      <c r="F23" s="312"/>
      <c r="G23" s="307"/>
      <c r="H23" s="306"/>
      <c r="I23" s="350"/>
      <c r="J23" s="311"/>
      <c r="K23" s="310"/>
      <c r="L23" s="311"/>
      <c r="M23" s="310"/>
      <c r="N23" s="312"/>
      <c r="O23" s="307"/>
      <c r="P23" s="312"/>
      <c r="Q23" s="307"/>
      <c r="R23" s="311"/>
      <c r="S23" s="307"/>
      <c r="T23" s="312"/>
      <c r="U23" s="307"/>
      <c r="V23" s="312"/>
      <c r="W23" s="307"/>
      <c r="X23" s="312"/>
      <c r="Y23" s="304">
        <f t="shared" si="0"/>
        <v>0</v>
      </c>
      <c r="AA23" s="293">
        <f>AA22-Y23</f>
        <v>2927</v>
      </c>
    </row>
    <row r="24" spans="1:27" ht="19" x14ac:dyDescent="0.25">
      <c r="A24" s="318">
        <v>5</v>
      </c>
      <c r="B24" s="318"/>
      <c r="C24" s="318"/>
      <c r="D24" s="167" t="s">
        <v>29</v>
      </c>
      <c r="E24" s="305">
        <v>500</v>
      </c>
      <c r="F24" s="306"/>
      <c r="G24" s="307"/>
      <c r="H24" s="306"/>
      <c r="I24" s="310"/>
      <c r="J24" s="309"/>
      <c r="K24" s="310"/>
      <c r="L24" s="311"/>
      <c r="M24" s="310"/>
      <c r="N24" s="312"/>
      <c r="O24" s="307"/>
      <c r="P24" s="306"/>
      <c r="Q24" s="307"/>
      <c r="R24" s="311"/>
      <c r="S24" s="307"/>
      <c r="T24" s="312"/>
      <c r="U24" s="307"/>
      <c r="V24" s="312"/>
      <c r="W24" s="307"/>
      <c r="X24" s="312"/>
      <c r="Y24" s="304">
        <f t="shared" si="0"/>
        <v>500</v>
      </c>
      <c r="Z24" s="293" t="s">
        <v>327</v>
      </c>
    </row>
    <row r="25" spans="1:27" ht="19" x14ac:dyDescent="0.25">
      <c r="A25" s="318">
        <v>6</v>
      </c>
      <c r="B25" s="318"/>
      <c r="C25" s="318"/>
      <c r="D25" s="76" t="s">
        <v>30</v>
      </c>
      <c r="E25" s="305"/>
      <c r="F25" s="312"/>
      <c r="G25" s="307"/>
      <c r="H25" s="312"/>
      <c r="I25" s="310"/>
      <c r="J25" s="311"/>
      <c r="K25" s="310"/>
      <c r="L25" s="311"/>
      <c r="M25" s="310"/>
      <c r="N25" s="312"/>
      <c r="O25" s="307"/>
      <c r="P25" s="312"/>
      <c r="Q25" s="307"/>
      <c r="R25" s="311"/>
      <c r="S25" s="307"/>
      <c r="T25" s="312"/>
      <c r="U25" s="307"/>
      <c r="V25" s="312"/>
      <c r="W25" s="307"/>
      <c r="X25" s="312"/>
      <c r="Y25" s="304">
        <f t="shared" si="0"/>
        <v>0</v>
      </c>
    </row>
    <row r="26" spans="1:27" ht="19" x14ac:dyDescent="0.25">
      <c r="A26" s="318">
        <v>7</v>
      </c>
      <c r="B26" s="318"/>
      <c r="C26" s="318"/>
      <c r="D26" s="76" t="s">
        <v>31</v>
      </c>
      <c r="E26" s="305"/>
      <c r="F26" s="312"/>
      <c r="G26" s="307"/>
      <c r="H26" s="312"/>
      <c r="I26" s="310"/>
      <c r="J26" s="311"/>
      <c r="K26" s="310"/>
      <c r="L26" s="311"/>
      <c r="M26" s="310"/>
      <c r="N26" s="312"/>
      <c r="O26" s="307"/>
      <c r="P26" s="312"/>
      <c r="Q26" s="307"/>
      <c r="R26" s="311"/>
      <c r="S26" s="307"/>
      <c r="T26" s="312"/>
      <c r="U26" s="307"/>
      <c r="V26" s="312"/>
      <c r="W26" s="307"/>
      <c r="X26" s="312"/>
      <c r="Y26" s="304">
        <f t="shared" si="0"/>
        <v>0</v>
      </c>
    </row>
    <row r="27" spans="1:27" ht="19" x14ac:dyDescent="0.25">
      <c r="A27" s="318">
        <v>8</v>
      </c>
      <c r="B27" s="318"/>
      <c r="C27" s="318"/>
      <c r="D27" s="76" t="s">
        <v>32</v>
      </c>
      <c r="E27" s="305"/>
      <c r="F27" s="312"/>
      <c r="G27" s="307"/>
      <c r="H27" s="312"/>
      <c r="I27" s="310"/>
      <c r="J27" s="311"/>
      <c r="K27" s="310"/>
      <c r="L27" s="311"/>
      <c r="M27" s="310"/>
      <c r="N27" s="312"/>
      <c r="O27" s="307"/>
      <c r="P27" s="312"/>
      <c r="Q27" s="307"/>
      <c r="R27" s="311"/>
      <c r="S27" s="307"/>
      <c r="T27" s="312"/>
      <c r="U27" s="307"/>
      <c r="V27" s="312"/>
      <c r="W27" s="307"/>
      <c r="X27" s="312"/>
      <c r="Y27" s="304">
        <f t="shared" si="0"/>
        <v>0</v>
      </c>
    </row>
    <row r="28" spans="1:27" ht="19" x14ac:dyDescent="0.25">
      <c r="A28" s="318">
        <v>9</v>
      </c>
      <c r="B28" s="318"/>
      <c r="C28" s="318"/>
      <c r="D28" s="76" t="s">
        <v>33</v>
      </c>
      <c r="E28" s="305"/>
      <c r="F28" s="306"/>
      <c r="G28" s="307"/>
      <c r="H28" s="306"/>
      <c r="I28" s="310"/>
      <c r="J28" s="309"/>
      <c r="K28" s="310"/>
      <c r="L28" s="311"/>
      <c r="M28" s="310"/>
      <c r="N28" s="312"/>
      <c r="O28" s="307"/>
      <c r="P28" s="306"/>
      <c r="Q28" s="307"/>
      <c r="R28" s="311"/>
      <c r="S28" s="307"/>
      <c r="T28" s="312"/>
      <c r="U28" s="307"/>
      <c r="V28" s="312"/>
      <c r="W28" s="307"/>
      <c r="X28" s="312"/>
      <c r="Y28" s="304">
        <f t="shared" si="0"/>
        <v>0</v>
      </c>
    </row>
    <row r="29" spans="1:27" ht="19" x14ac:dyDescent="0.25">
      <c r="A29" s="318">
        <v>10</v>
      </c>
      <c r="B29" s="318"/>
      <c r="C29" s="318"/>
      <c r="D29" s="76" t="s">
        <v>34</v>
      </c>
      <c r="E29" s="305"/>
      <c r="F29" s="312"/>
      <c r="G29" s="307"/>
      <c r="H29" s="312"/>
      <c r="I29" s="310"/>
      <c r="J29" s="311"/>
      <c r="K29" s="310"/>
      <c r="L29" s="311"/>
      <c r="M29" s="310"/>
      <c r="N29" s="312"/>
      <c r="O29" s="307"/>
      <c r="P29" s="312"/>
      <c r="Q29" s="307"/>
      <c r="R29" s="311"/>
      <c r="S29" s="307"/>
      <c r="T29" s="312"/>
      <c r="U29" s="307"/>
      <c r="V29" s="312"/>
      <c r="W29" s="307"/>
      <c r="X29" s="312"/>
      <c r="Y29" s="304">
        <f t="shared" si="0"/>
        <v>0</v>
      </c>
    </row>
    <row r="30" spans="1:27" ht="19" x14ac:dyDescent="0.25">
      <c r="A30" s="318">
        <v>11</v>
      </c>
      <c r="B30" s="318"/>
      <c r="C30" s="318"/>
      <c r="D30" s="76" t="s">
        <v>35</v>
      </c>
      <c r="E30" s="305"/>
      <c r="F30" s="312"/>
      <c r="G30" s="307"/>
      <c r="H30" s="312"/>
      <c r="I30" s="310"/>
      <c r="J30" s="311"/>
      <c r="K30" s="310"/>
      <c r="L30" s="311"/>
      <c r="M30" s="310"/>
      <c r="N30" s="312"/>
      <c r="O30" s="307"/>
      <c r="P30" s="312"/>
      <c r="Q30" s="307"/>
      <c r="R30" s="311"/>
      <c r="S30" s="307"/>
      <c r="T30" s="312"/>
      <c r="U30" s="307"/>
      <c r="V30" s="312"/>
      <c r="W30" s="307"/>
      <c r="X30" s="312"/>
      <c r="Y30" s="304">
        <f t="shared" si="0"/>
        <v>0</v>
      </c>
    </row>
    <row r="31" spans="1:27" ht="19" x14ac:dyDescent="0.25">
      <c r="A31" s="318">
        <v>12</v>
      </c>
      <c r="B31" s="318"/>
      <c r="C31" s="318"/>
      <c r="D31" s="76" t="s">
        <v>36</v>
      </c>
      <c r="E31" s="305"/>
      <c r="F31" s="312"/>
      <c r="G31" s="307"/>
      <c r="H31" s="312"/>
      <c r="I31" s="310"/>
      <c r="J31" s="311"/>
      <c r="K31" s="310"/>
      <c r="L31" s="311"/>
      <c r="M31" s="310"/>
      <c r="N31" s="312"/>
      <c r="O31" s="307"/>
      <c r="P31" s="312"/>
      <c r="Q31" s="307"/>
      <c r="R31" s="311"/>
      <c r="S31" s="307"/>
      <c r="T31" s="312"/>
      <c r="U31" s="307"/>
      <c r="V31" s="312"/>
      <c r="W31" s="307"/>
      <c r="X31" s="312"/>
      <c r="Y31" s="304">
        <f t="shared" si="0"/>
        <v>0</v>
      </c>
    </row>
    <row r="32" spans="1:27" ht="19" x14ac:dyDescent="0.25">
      <c r="A32" s="318">
        <v>13</v>
      </c>
      <c r="B32" s="318"/>
      <c r="C32" s="318"/>
      <c r="D32" s="76" t="s">
        <v>37</v>
      </c>
      <c r="E32" s="305"/>
      <c r="F32" s="312"/>
      <c r="G32" s="319"/>
      <c r="H32" s="320"/>
      <c r="I32" s="310"/>
      <c r="J32" s="311"/>
      <c r="K32" s="310"/>
      <c r="L32" s="311"/>
      <c r="M32" s="310"/>
      <c r="N32" s="312"/>
      <c r="O32" s="307"/>
      <c r="P32" s="312"/>
      <c r="Q32" s="307"/>
      <c r="R32" s="311"/>
      <c r="S32" s="307"/>
      <c r="T32" s="312"/>
      <c r="U32" s="307"/>
      <c r="V32" s="312"/>
      <c r="W32" s="307"/>
      <c r="X32" s="312"/>
      <c r="Y32" s="304">
        <f t="shared" si="0"/>
        <v>0</v>
      </c>
    </row>
    <row r="33" spans="1:25" ht="19" x14ac:dyDescent="0.25">
      <c r="A33" s="318">
        <v>14</v>
      </c>
      <c r="B33" s="318"/>
      <c r="C33" s="318"/>
      <c r="D33" s="76" t="s">
        <v>38</v>
      </c>
      <c r="E33" s="305"/>
      <c r="F33" s="312"/>
      <c r="G33" s="307"/>
      <c r="H33" s="312"/>
      <c r="I33" s="310"/>
      <c r="J33" s="311"/>
      <c r="K33" s="310"/>
      <c r="L33" s="311"/>
      <c r="M33" s="310"/>
      <c r="N33" s="312"/>
      <c r="O33" s="307"/>
      <c r="P33" s="312"/>
      <c r="Q33" s="307"/>
      <c r="R33" s="311"/>
      <c r="S33" s="307"/>
      <c r="T33" s="312"/>
      <c r="U33" s="307"/>
      <c r="V33" s="312"/>
      <c r="W33" s="307"/>
      <c r="X33" s="312"/>
      <c r="Y33" s="304">
        <f t="shared" si="0"/>
        <v>0</v>
      </c>
    </row>
    <row r="34" spans="1:25" ht="19" x14ac:dyDescent="0.25">
      <c r="A34" s="318">
        <v>15</v>
      </c>
      <c r="B34" s="318"/>
      <c r="C34" s="318"/>
      <c r="D34" s="76" t="s">
        <v>39</v>
      </c>
      <c r="E34" s="305"/>
      <c r="F34" s="312"/>
      <c r="G34" s="307"/>
      <c r="H34" s="312"/>
      <c r="I34" s="310"/>
      <c r="J34" s="311"/>
      <c r="K34" s="310"/>
      <c r="L34" s="311"/>
      <c r="M34" s="310"/>
      <c r="N34" s="312"/>
      <c r="O34" s="307"/>
      <c r="P34" s="312"/>
      <c r="Q34" s="307"/>
      <c r="R34" s="311"/>
      <c r="S34" s="307"/>
      <c r="T34" s="312"/>
      <c r="U34" s="307"/>
      <c r="V34" s="312"/>
      <c r="W34" s="307"/>
      <c r="X34" s="312"/>
      <c r="Y34" s="304">
        <f t="shared" si="0"/>
        <v>0</v>
      </c>
    </row>
    <row r="35" spans="1:25" ht="19" x14ac:dyDescent="0.25">
      <c r="A35" s="318">
        <v>16</v>
      </c>
      <c r="B35" s="318"/>
      <c r="C35" s="318"/>
      <c r="D35" s="76" t="s">
        <v>40</v>
      </c>
      <c r="E35" s="305"/>
      <c r="F35" s="312"/>
      <c r="G35" s="307"/>
      <c r="H35" s="312"/>
      <c r="I35" s="310"/>
      <c r="J35" s="311"/>
      <c r="K35" s="310"/>
      <c r="L35" s="311"/>
      <c r="M35" s="310"/>
      <c r="N35" s="312"/>
      <c r="O35" s="307"/>
      <c r="P35" s="312"/>
      <c r="Q35" s="307"/>
      <c r="R35" s="311"/>
      <c r="S35" s="307"/>
      <c r="T35" s="312"/>
      <c r="U35" s="307"/>
      <c r="V35" s="312"/>
      <c r="W35" s="307"/>
      <c r="X35" s="312"/>
      <c r="Y35" s="304">
        <f t="shared" si="0"/>
        <v>0</v>
      </c>
    </row>
    <row r="36" spans="1:25" ht="19" x14ac:dyDescent="0.25">
      <c r="A36" s="318">
        <v>17</v>
      </c>
      <c r="B36" s="318"/>
      <c r="C36" s="318"/>
      <c r="D36" s="76" t="s">
        <v>41</v>
      </c>
      <c r="E36" s="305"/>
      <c r="F36" s="312"/>
      <c r="G36" s="307"/>
      <c r="H36" s="312"/>
      <c r="I36" s="310"/>
      <c r="J36" s="311"/>
      <c r="K36" s="310"/>
      <c r="L36" s="311"/>
      <c r="M36" s="310"/>
      <c r="N36" s="312"/>
      <c r="O36" s="307"/>
      <c r="P36" s="312"/>
      <c r="Q36" s="307"/>
      <c r="R36" s="311"/>
      <c r="S36" s="307"/>
      <c r="T36" s="312"/>
      <c r="U36" s="307"/>
      <c r="V36" s="312"/>
      <c r="W36" s="307"/>
      <c r="X36" s="312"/>
      <c r="Y36" s="304">
        <f t="shared" si="0"/>
        <v>0</v>
      </c>
    </row>
    <row r="37" spans="1:25" ht="19" x14ac:dyDescent="0.25">
      <c r="A37" s="318">
        <v>18</v>
      </c>
      <c r="B37" s="318"/>
      <c r="C37" s="318"/>
      <c r="D37" s="76" t="s">
        <v>42</v>
      </c>
      <c r="E37" s="305"/>
      <c r="F37" s="312"/>
      <c r="G37" s="307"/>
      <c r="H37" s="312"/>
      <c r="I37" s="310"/>
      <c r="J37" s="311"/>
      <c r="K37" s="310"/>
      <c r="L37" s="311"/>
      <c r="M37" s="310"/>
      <c r="N37" s="312"/>
      <c r="O37" s="307"/>
      <c r="P37" s="312"/>
      <c r="Q37" s="307"/>
      <c r="R37" s="311"/>
      <c r="S37" s="307"/>
      <c r="T37" s="312"/>
      <c r="U37" s="307"/>
      <c r="V37" s="312"/>
      <c r="W37" s="307"/>
      <c r="X37" s="312"/>
      <c r="Y37" s="304">
        <f t="shared" si="0"/>
        <v>0</v>
      </c>
    </row>
    <row r="38" spans="1:25" ht="19" x14ac:dyDescent="0.25">
      <c r="A38" s="318">
        <v>19</v>
      </c>
      <c r="B38" s="318"/>
      <c r="C38" s="318"/>
      <c r="D38" s="76" t="s">
        <v>43</v>
      </c>
      <c r="E38" s="305"/>
      <c r="F38" s="312"/>
      <c r="G38" s="307"/>
      <c r="H38" s="312"/>
      <c r="I38" s="310"/>
      <c r="J38" s="311"/>
      <c r="K38" s="310"/>
      <c r="L38" s="311"/>
      <c r="M38" s="310"/>
      <c r="N38" s="312"/>
      <c r="O38" s="307"/>
      <c r="P38" s="312"/>
      <c r="Q38" s="307"/>
      <c r="R38" s="311"/>
      <c r="S38" s="307"/>
      <c r="T38" s="312"/>
      <c r="U38" s="307"/>
      <c r="V38" s="312"/>
      <c r="W38" s="307"/>
      <c r="X38" s="312"/>
      <c r="Y38" s="304">
        <f t="shared" si="0"/>
        <v>0</v>
      </c>
    </row>
    <row r="39" spans="1:25" ht="19" x14ac:dyDescent="0.25">
      <c r="A39" s="318">
        <v>20</v>
      </c>
      <c r="B39" s="318"/>
      <c r="C39" s="318"/>
      <c r="D39" s="76" t="s">
        <v>44</v>
      </c>
      <c r="E39" s="305">
        <v>500</v>
      </c>
      <c r="F39" s="312"/>
      <c r="G39" s="307"/>
      <c r="H39" s="312"/>
      <c r="I39" s="310"/>
      <c r="J39" s="311"/>
      <c r="K39" s="310"/>
      <c r="L39" s="311"/>
      <c r="M39" s="310"/>
      <c r="N39" s="312"/>
      <c r="O39" s="307"/>
      <c r="P39" s="312"/>
      <c r="Q39" s="307"/>
      <c r="R39" s="311"/>
      <c r="S39" s="307"/>
      <c r="T39" s="312"/>
      <c r="U39" s="307"/>
      <c r="V39" s="312"/>
      <c r="W39" s="307"/>
      <c r="X39" s="312"/>
      <c r="Y39" s="304">
        <f t="shared" si="0"/>
        <v>500</v>
      </c>
    </row>
    <row r="40" spans="1:25" ht="19" x14ac:dyDescent="0.25">
      <c r="A40" s="318">
        <v>21</v>
      </c>
      <c r="B40" s="318"/>
      <c r="C40" s="318"/>
      <c r="D40" s="76" t="s">
        <v>45</v>
      </c>
      <c r="E40" s="305"/>
      <c r="F40" s="312"/>
      <c r="G40" s="307"/>
      <c r="H40" s="312"/>
      <c r="I40" s="310"/>
      <c r="J40" s="311"/>
      <c r="K40" s="310"/>
      <c r="L40" s="311"/>
      <c r="M40" s="310"/>
      <c r="N40" s="312"/>
      <c r="O40" s="307"/>
      <c r="P40" s="312"/>
      <c r="Q40" s="307"/>
      <c r="R40" s="311"/>
      <c r="S40" s="307"/>
      <c r="T40" s="312"/>
      <c r="U40" s="307"/>
      <c r="V40" s="312"/>
      <c r="W40" s="307"/>
      <c r="X40" s="312"/>
      <c r="Y40" s="304">
        <f t="shared" si="0"/>
        <v>0</v>
      </c>
    </row>
    <row r="41" spans="1:25" ht="19" x14ac:dyDescent="0.25">
      <c r="A41" s="318">
        <v>22</v>
      </c>
      <c r="B41" s="318"/>
      <c r="C41" s="318"/>
      <c r="D41" s="76" t="s">
        <v>46</v>
      </c>
      <c r="E41" s="305"/>
      <c r="F41" s="312"/>
      <c r="G41" s="307"/>
      <c r="H41" s="312"/>
      <c r="I41" s="310"/>
      <c r="J41" s="311"/>
      <c r="K41" s="310"/>
      <c r="L41" s="311"/>
      <c r="M41" s="310"/>
      <c r="N41" s="312"/>
      <c r="O41" s="307"/>
      <c r="P41" s="312"/>
      <c r="Q41" s="307"/>
      <c r="R41" s="311"/>
      <c r="S41" s="307"/>
      <c r="T41" s="312"/>
      <c r="U41" s="307"/>
      <c r="V41" s="312"/>
      <c r="W41" s="307"/>
      <c r="X41" s="312"/>
      <c r="Y41" s="304">
        <f t="shared" si="0"/>
        <v>0</v>
      </c>
    </row>
    <row r="42" spans="1:25" ht="19" x14ac:dyDescent="0.25">
      <c r="A42" s="318">
        <v>23</v>
      </c>
      <c r="B42" s="318"/>
      <c r="C42" s="318"/>
      <c r="D42" s="76" t="s">
        <v>47</v>
      </c>
      <c r="E42" s="305"/>
      <c r="F42" s="312"/>
      <c r="G42" s="307"/>
      <c r="H42" s="312"/>
      <c r="I42" s="310"/>
      <c r="J42" s="311"/>
      <c r="K42" s="310"/>
      <c r="L42" s="311"/>
      <c r="M42" s="310"/>
      <c r="N42" s="312"/>
      <c r="O42" s="307"/>
      <c r="P42" s="312"/>
      <c r="Q42" s="307"/>
      <c r="R42" s="311"/>
      <c r="S42" s="307"/>
      <c r="T42" s="312"/>
      <c r="U42" s="307"/>
      <c r="V42" s="312"/>
      <c r="W42" s="307"/>
      <c r="X42" s="312"/>
      <c r="Y42" s="304">
        <f t="shared" si="0"/>
        <v>0</v>
      </c>
    </row>
    <row r="43" spans="1:25" ht="19" x14ac:dyDescent="0.25">
      <c r="A43" s="318">
        <v>24</v>
      </c>
      <c r="B43" s="318"/>
      <c r="C43" s="318"/>
      <c r="D43" s="76" t="s">
        <v>48</v>
      </c>
      <c r="E43" s="305"/>
      <c r="F43" s="312"/>
      <c r="G43" s="307"/>
      <c r="H43" s="312"/>
      <c r="I43" s="310"/>
      <c r="J43" s="311"/>
      <c r="K43" s="310"/>
      <c r="L43" s="311"/>
      <c r="M43" s="310"/>
      <c r="N43" s="312"/>
      <c r="O43" s="307"/>
      <c r="P43" s="312"/>
      <c r="Q43" s="307"/>
      <c r="R43" s="311"/>
      <c r="S43" s="307"/>
      <c r="T43" s="312"/>
      <c r="U43" s="307"/>
      <c r="V43" s="312"/>
      <c r="W43" s="307"/>
      <c r="X43" s="312"/>
      <c r="Y43" s="304">
        <f t="shared" si="0"/>
        <v>0</v>
      </c>
    </row>
    <row r="44" spans="1:25" ht="19" x14ac:dyDescent="0.25">
      <c r="A44" s="318">
        <v>25</v>
      </c>
      <c r="B44" s="318"/>
      <c r="C44" s="318"/>
      <c r="D44" s="76" t="s">
        <v>49</v>
      </c>
      <c r="E44" s="305"/>
      <c r="F44" s="312"/>
      <c r="G44" s="307"/>
      <c r="H44" s="312"/>
      <c r="I44" s="310"/>
      <c r="J44" s="311"/>
      <c r="K44" s="310"/>
      <c r="L44" s="311"/>
      <c r="M44" s="310"/>
      <c r="N44" s="312"/>
      <c r="O44" s="307"/>
      <c r="P44" s="312"/>
      <c r="Q44" s="307"/>
      <c r="R44" s="311"/>
      <c r="S44" s="307"/>
      <c r="T44" s="312"/>
      <c r="U44" s="301"/>
      <c r="V44" s="312"/>
      <c r="W44" s="307"/>
      <c r="X44" s="312"/>
      <c r="Y44" s="304">
        <f t="shared" si="0"/>
        <v>0</v>
      </c>
    </row>
    <row r="45" spans="1:25" ht="19" x14ac:dyDescent="0.25">
      <c r="A45" s="366"/>
      <c r="B45" s="366"/>
      <c r="C45" s="366"/>
      <c r="D45" s="366"/>
      <c r="E45" s="305"/>
      <c r="F45" s="312"/>
      <c r="G45" s="307"/>
      <c r="H45" s="312"/>
      <c r="I45" s="310"/>
      <c r="J45" s="311"/>
      <c r="K45" s="310"/>
      <c r="L45" s="311"/>
      <c r="M45" s="310"/>
      <c r="N45" s="312"/>
      <c r="O45" s="307"/>
      <c r="P45" s="312"/>
      <c r="Q45" s="307"/>
      <c r="R45" s="311"/>
      <c r="S45" s="307"/>
      <c r="T45" s="312"/>
      <c r="U45" s="307"/>
      <c r="V45" s="312"/>
      <c r="W45" s="307"/>
      <c r="X45" s="312"/>
      <c r="Y45" s="304">
        <f t="shared" si="0"/>
        <v>0</v>
      </c>
    </row>
    <row r="46" spans="1:25" ht="19" x14ac:dyDescent="0.25">
      <c r="A46" s="321"/>
      <c r="B46" s="299" t="s">
        <v>243</v>
      </c>
      <c r="C46" s="299"/>
      <c r="D46" s="299" t="s">
        <v>50</v>
      </c>
      <c r="E46" s="305"/>
      <c r="F46" s="312"/>
      <c r="G46" s="307"/>
      <c r="H46" s="312"/>
      <c r="I46" s="310"/>
      <c r="J46" s="311"/>
      <c r="K46" s="310"/>
      <c r="L46" s="311"/>
      <c r="M46" s="310"/>
      <c r="N46" s="312"/>
      <c r="O46" s="307"/>
      <c r="P46" s="312"/>
      <c r="Q46" s="307"/>
      <c r="R46" s="311"/>
      <c r="S46" s="307"/>
      <c r="T46" s="312"/>
      <c r="U46" s="307"/>
      <c r="V46" s="312"/>
      <c r="W46" s="307"/>
      <c r="X46" s="312"/>
      <c r="Y46" s="304">
        <f t="shared" si="0"/>
        <v>0</v>
      </c>
    </row>
    <row r="47" spans="1:25" ht="19" x14ac:dyDescent="0.25">
      <c r="A47" s="322">
        <v>1</v>
      </c>
      <c r="B47" s="322"/>
      <c r="C47" s="322"/>
      <c r="D47" s="77" t="s">
        <v>51</v>
      </c>
      <c r="E47" s="305"/>
      <c r="F47" s="312"/>
      <c r="G47" s="307"/>
      <c r="H47" s="312"/>
      <c r="I47" s="310"/>
      <c r="J47" s="311"/>
      <c r="K47" s="310"/>
      <c r="L47" s="311"/>
      <c r="M47" s="310"/>
      <c r="N47" s="312"/>
      <c r="O47" s="307"/>
      <c r="P47" s="312"/>
      <c r="Q47" s="307"/>
      <c r="R47" s="311"/>
      <c r="S47" s="307"/>
      <c r="T47" s="312"/>
      <c r="U47" s="307"/>
      <c r="V47" s="312"/>
      <c r="W47" s="307"/>
      <c r="X47" s="312"/>
      <c r="Y47" s="304">
        <f t="shared" si="0"/>
        <v>0</v>
      </c>
    </row>
    <row r="48" spans="1:25" ht="19" x14ac:dyDescent="0.25">
      <c r="A48" s="78">
        <v>2</v>
      </c>
      <c r="B48" s="78"/>
      <c r="C48" s="78"/>
      <c r="D48" s="78" t="s">
        <v>52</v>
      </c>
      <c r="E48" s="305">
        <v>200</v>
      </c>
      <c r="F48" s="312"/>
      <c r="G48" s="307"/>
      <c r="H48" s="312"/>
      <c r="I48" s="310"/>
      <c r="J48" s="311"/>
      <c r="K48" s="310"/>
      <c r="L48" s="311"/>
      <c r="M48" s="310"/>
      <c r="N48" s="312"/>
      <c r="O48" s="307"/>
      <c r="P48" s="312"/>
      <c r="Q48" s="307"/>
      <c r="R48" s="311"/>
      <c r="S48" s="307"/>
      <c r="T48" s="312"/>
      <c r="U48" s="307"/>
      <c r="V48" s="312"/>
      <c r="W48" s="307"/>
      <c r="X48" s="312"/>
      <c r="Y48" s="304">
        <f t="shared" si="0"/>
        <v>200</v>
      </c>
    </row>
    <row r="49" spans="1:25" ht="19" x14ac:dyDescent="0.25">
      <c r="A49" s="79">
        <v>3</v>
      </c>
      <c r="B49" s="79"/>
      <c r="C49" s="79"/>
      <c r="D49" s="79" t="s">
        <v>53</v>
      </c>
      <c r="E49" s="305">
        <v>200</v>
      </c>
      <c r="F49" s="312"/>
      <c r="G49" s="307"/>
      <c r="H49" s="312"/>
      <c r="I49" s="310"/>
      <c r="J49" s="311"/>
      <c r="K49" s="310"/>
      <c r="L49" s="311"/>
      <c r="M49" s="310"/>
      <c r="N49" s="312"/>
      <c r="O49" s="307"/>
      <c r="P49" s="312"/>
      <c r="Q49" s="307"/>
      <c r="R49" s="311"/>
      <c r="S49" s="307"/>
      <c r="T49" s="312"/>
      <c r="U49" s="307"/>
      <c r="V49" s="312"/>
      <c r="W49" s="307"/>
      <c r="X49" s="312"/>
      <c r="Y49" s="304">
        <f t="shared" si="0"/>
        <v>200</v>
      </c>
    </row>
    <row r="50" spans="1:25" ht="19" x14ac:dyDescent="0.25">
      <c r="A50" s="80">
        <v>4</v>
      </c>
      <c r="B50" s="80"/>
      <c r="C50" s="80"/>
      <c r="D50" s="80" t="s">
        <v>54</v>
      </c>
      <c r="E50" s="305">
        <v>200</v>
      </c>
      <c r="F50" s="312"/>
      <c r="G50" s="307"/>
      <c r="H50" s="312"/>
      <c r="I50" s="310"/>
      <c r="J50" s="311"/>
      <c r="K50" s="310"/>
      <c r="L50" s="311"/>
      <c r="M50" s="310"/>
      <c r="N50" s="312"/>
      <c r="O50" s="307"/>
      <c r="P50" s="312"/>
      <c r="Q50" s="307"/>
      <c r="R50" s="311"/>
      <c r="S50" s="307"/>
      <c r="T50" s="312"/>
      <c r="U50" s="307"/>
      <c r="V50" s="312"/>
      <c r="W50" s="307"/>
      <c r="X50" s="312"/>
      <c r="Y50" s="304">
        <f t="shared" si="0"/>
        <v>200</v>
      </c>
    </row>
    <row r="51" spans="1:25" ht="19" x14ac:dyDescent="0.25">
      <c r="A51" s="81">
        <v>5</v>
      </c>
      <c r="B51" s="81"/>
      <c r="C51" s="81"/>
      <c r="D51" s="81" t="s">
        <v>55</v>
      </c>
      <c r="E51" s="305">
        <v>200</v>
      </c>
      <c r="F51" s="312"/>
      <c r="G51" s="307"/>
      <c r="H51" s="312"/>
      <c r="I51" s="310"/>
      <c r="J51" s="311"/>
      <c r="K51" s="310"/>
      <c r="L51" s="311"/>
      <c r="M51" s="310"/>
      <c r="N51" s="312"/>
      <c r="O51" s="307"/>
      <c r="P51" s="312"/>
      <c r="Q51" s="307"/>
      <c r="R51" s="311"/>
      <c r="S51" s="307"/>
      <c r="T51" s="312"/>
      <c r="U51" s="307"/>
      <c r="V51" s="312"/>
      <c r="W51" s="307"/>
      <c r="X51" s="312"/>
      <c r="Y51" s="304">
        <f t="shared" si="0"/>
        <v>200</v>
      </c>
    </row>
    <row r="52" spans="1:25" ht="19" x14ac:dyDescent="0.25">
      <c r="A52" s="82">
        <v>6</v>
      </c>
      <c r="B52" s="82"/>
      <c r="C52" s="82"/>
      <c r="D52" s="82" t="s">
        <v>56</v>
      </c>
      <c r="E52" s="305">
        <v>200</v>
      </c>
      <c r="F52" s="312"/>
      <c r="G52" s="307"/>
      <c r="H52" s="312"/>
      <c r="I52" s="310"/>
      <c r="J52" s="311"/>
      <c r="K52" s="310"/>
      <c r="L52" s="311"/>
      <c r="M52" s="310"/>
      <c r="N52" s="312"/>
      <c r="O52" s="307"/>
      <c r="P52" s="312"/>
      <c r="Q52" s="307"/>
      <c r="R52" s="311"/>
      <c r="S52" s="307"/>
      <c r="T52" s="312"/>
      <c r="U52" s="307"/>
      <c r="V52" s="312"/>
      <c r="W52" s="307"/>
      <c r="X52" s="312"/>
      <c r="Y52" s="304">
        <f t="shared" si="0"/>
        <v>200</v>
      </c>
    </row>
    <row r="53" spans="1:25" ht="19" x14ac:dyDescent="0.25">
      <c r="A53" s="83">
        <v>7</v>
      </c>
      <c r="B53" s="83"/>
      <c r="C53" s="83"/>
      <c r="D53" s="83" t="s">
        <v>57</v>
      </c>
      <c r="E53" s="305">
        <v>200</v>
      </c>
      <c r="F53" s="312"/>
      <c r="G53" s="307"/>
      <c r="H53" s="312"/>
      <c r="I53" s="310"/>
      <c r="J53" s="311"/>
      <c r="K53" s="310"/>
      <c r="L53" s="311"/>
      <c r="M53" s="310"/>
      <c r="N53" s="312"/>
      <c r="O53" s="307"/>
      <c r="P53" s="312"/>
      <c r="Q53" s="307"/>
      <c r="R53" s="311"/>
      <c r="S53" s="307"/>
      <c r="T53" s="312"/>
      <c r="U53" s="307"/>
      <c r="V53" s="312"/>
      <c r="W53" s="307"/>
      <c r="X53" s="312"/>
      <c r="Y53" s="304">
        <f t="shared" si="0"/>
        <v>200</v>
      </c>
    </row>
    <row r="54" spans="1:25" ht="19" x14ac:dyDescent="0.25">
      <c r="A54" s="84">
        <v>8</v>
      </c>
      <c r="B54" s="84"/>
      <c r="C54" s="84"/>
      <c r="D54" s="84" t="s">
        <v>58</v>
      </c>
      <c r="E54" s="305">
        <v>200</v>
      </c>
      <c r="F54" s="312"/>
      <c r="G54" s="307"/>
      <c r="H54" s="312"/>
      <c r="I54" s="310"/>
      <c r="J54" s="311"/>
      <c r="K54" s="310"/>
      <c r="L54" s="311"/>
      <c r="M54" s="310"/>
      <c r="N54" s="312"/>
      <c r="O54" s="307"/>
      <c r="P54" s="312"/>
      <c r="Q54" s="307"/>
      <c r="R54" s="311"/>
      <c r="S54" s="307"/>
      <c r="T54" s="312"/>
      <c r="U54" s="307"/>
      <c r="V54" s="312"/>
      <c r="W54" s="307"/>
      <c r="X54" s="312"/>
      <c r="Y54" s="304">
        <f t="shared" si="0"/>
        <v>200</v>
      </c>
    </row>
    <row r="55" spans="1:25" ht="19" x14ac:dyDescent="0.25">
      <c r="A55" s="77">
        <v>9</v>
      </c>
      <c r="B55" s="77"/>
      <c r="C55" s="77"/>
      <c r="D55" s="77" t="s">
        <v>59</v>
      </c>
      <c r="E55" s="305">
        <v>138</v>
      </c>
      <c r="F55" s="312"/>
      <c r="G55" s="307"/>
      <c r="H55" s="312"/>
      <c r="I55" s="310"/>
      <c r="J55" s="311"/>
      <c r="K55" s="310"/>
      <c r="L55" s="311"/>
      <c r="M55" s="310"/>
      <c r="N55" s="312"/>
      <c r="O55" s="307"/>
      <c r="P55" s="312"/>
      <c r="Q55" s="307"/>
      <c r="R55" s="311"/>
      <c r="S55" s="307"/>
      <c r="T55" s="312"/>
      <c r="U55" s="307"/>
      <c r="V55" s="312"/>
      <c r="W55" s="307"/>
      <c r="X55" s="312"/>
      <c r="Y55" s="304">
        <f t="shared" si="0"/>
        <v>138</v>
      </c>
    </row>
    <row r="56" spans="1:25" ht="19" x14ac:dyDescent="0.25">
      <c r="A56" s="77"/>
      <c r="B56" s="77"/>
      <c r="C56" s="77"/>
      <c r="D56" s="77"/>
      <c r="E56" s="305"/>
      <c r="F56" s="312"/>
      <c r="G56" s="307"/>
      <c r="H56" s="312"/>
      <c r="I56" s="310"/>
      <c r="J56" s="311"/>
      <c r="K56" s="310"/>
      <c r="L56" s="311"/>
      <c r="M56" s="310"/>
      <c r="N56" s="312"/>
      <c r="O56" s="307"/>
      <c r="P56" s="312"/>
      <c r="Q56" s="307"/>
      <c r="R56" s="311"/>
      <c r="S56" s="307"/>
      <c r="T56" s="312"/>
      <c r="U56" s="307"/>
      <c r="V56" s="312"/>
      <c r="W56" s="307"/>
      <c r="X56" s="312"/>
      <c r="Y56" s="304">
        <f t="shared" si="0"/>
        <v>0</v>
      </c>
    </row>
    <row r="57" spans="1:25" ht="19" x14ac:dyDescent="0.25">
      <c r="A57" s="77"/>
      <c r="B57" s="77"/>
      <c r="C57" s="77"/>
      <c r="D57" s="323" t="s">
        <v>324</v>
      </c>
      <c r="E57" s="305"/>
      <c r="F57" s="312"/>
      <c r="G57" s="307"/>
      <c r="H57" s="312"/>
      <c r="I57" s="310"/>
      <c r="J57" s="311"/>
      <c r="K57" s="310"/>
      <c r="L57" s="311"/>
      <c r="M57" s="310"/>
      <c r="N57" s="312"/>
      <c r="O57" s="307"/>
      <c r="P57" s="312"/>
      <c r="Q57" s="307"/>
      <c r="R57" s="311"/>
      <c r="S57" s="307"/>
      <c r="T57" s="312"/>
      <c r="U57" s="307"/>
      <c r="V57" s="312"/>
      <c r="W57" s="307"/>
      <c r="X57" s="312"/>
      <c r="Y57" s="304">
        <f t="shared" si="0"/>
        <v>0</v>
      </c>
    </row>
    <row r="58" spans="1:25" ht="19" x14ac:dyDescent="0.25">
      <c r="A58" s="77"/>
      <c r="B58" s="77"/>
      <c r="C58" s="77"/>
      <c r="D58" s="324" t="s">
        <v>314</v>
      </c>
      <c r="E58" s="305"/>
      <c r="F58" s="312"/>
      <c r="G58" s="307"/>
      <c r="H58" s="312"/>
      <c r="I58" s="310"/>
      <c r="J58" s="311"/>
      <c r="K58" s="310"/>
      <c r="L58" s="311"/>
      <c r="M58" s="310"/>
      <c r="N58" s="312"/>
      <c r="O58" s="307"/>
      <c r="P58" s="312"/>
      <c r="Q58" s="307"/>
      <c r="R58" s="311"/>
      <c r="S58" s="307"/>
      <c r="T58" s="312"/>
      <c r="U58" s="307"/>
      <c r="V58" s="312"/>
      <c r="W58" s="307"/>
      <c r="X58" s="312"/>
      <c r="Y58" s="304">
        <f t="shared" si="0"/>
        <v>0</v>
      </c>
    </row>
    <row r="59" spans="1:25" ht="19" x14ac:dyDescent="0.25">
      <c r="A59" s="77"/>
      <c r="B59" s="77"/>
      <c r="C59" s="77"/>
      <c r="D59" s="325" t="s">
        <v>315</v>
      </c>
      <c r="E59" s="305"/>
      <c r="F59" s="312"/>
      <c r="G59" s="307"/>
      <c r="H59" s="312"/>
      <c r="I59" s="310"/>
      <c r="J59" s="311"/>
      <c r="K59" s="310"/>
      <c r="L59" s="311"/>
      <c r="M59" s="310"/>
      <c r="N59" s="312"/>
      <c r="O59" s="307"/>
      <c r="P59" s="312"/>
      <c r="Q59" s="307"/>
      <c r="R59" s="311"/>
      <c r="S59" s="307"/>
      <c r="T59" s="312"/>
      <c r="U59" s="307"/>
      <c r="V59" s="312"/>
      <c r="W59" s="307"/>
      <c r="X59" s="312"/>
      <c r="Y59" s="304">
        <f t="shared" si="0"/>
        <v>0</v>
      </c>
    </row>
    <row r="60" spans="1:25" ht="19" x14ac:dyDescent="0.25">
      <c r="A60" s="77"/>
      <c r="B60" s="77"/>
      <c r="C60" s="77"/>
      <c r="D60" s="325" t="s">
        <v>316</v>
      </c>
      <c r="E60" s="305"/>
      <c r="F60" s="312"/>
      <c r="G60" s="307"/>
      <c r="H60" s="312"/>
      <c r="I60" s="310"/>
      <c r="J60" s="311"/>
      <c r="K60" s="310"/>
      <c r="L60" s="311"/>
      <c r="M60" s="310"/>
      <c r="N60" s="312"/>
      <c r="O60" s="307"/>
      <c r="P60" s="312"/>
      <c r="Q60" s="307"/>
      <c r="R60" s="311"/>
      <c r="S60" s="307"/>
      <c r="T60" s="312"/>
      <c r="U60" s="307"/>
      <c r="V60" s="312"/>
      <c r="W60" s="307"/>
      <c r="X60" s="312"/>
      <c r="Y60" s="304">
        <f t="shared" si="0"/>
        <v>0</v>
      </c>
    </row>
    <row r="61" spans="1:25" ht="19" x14ac:dyDescent="0.25">
      <c r="A61" s="77"/>
      <c r="B61" s="77"/>
      <c r="C61" s="77"/>
      <c r="D61" s="325" t="s">
        <v>317</v>
      </c>
      <c r="E61" s="305"/>
      <c r="F61" s="312"/>
      <c r="G61" s="307"/>
      <c r="H61" s="312"/>
      <c r="I61" s="310"/>
      <c r="J61" s="311"/>
      <c r="K61" s="310"/>
      <c r="L61" s="311"/>
      <c r="M61" s="310"/>
      <c r="N61" s="312"/>
      <c r="O61" s="307"/>
      <c r="P61" s="312"/>
      <c r="Q61" s="307"/>
      <c r="R61" s="311"/>
      <c r="S61" s="307"/>
      <c r="T61" s="312"/>
      <c r="U61" s="307"/>
      <c r="V61" s="312"/>
      <c r="W61" s="307"/>
      <c r="X61" s="312"/>
      <c r="Y61" s="304">
        <f t="shared" si="0"/>
        <v>0</v>
      </c>
    </row>
    <row r="62" spans="1:25" ht="19" x14ac:dyDescent="0.25">
      <c r="A62" s="77"/>
      <c r="B62" s="77"/>
      <c r="C62" s="77"/>
      <c r="D62" s="325" t="s">
        <v>318</v>
      </c>
      <c r="E62" s="305"/>
      <c r="F62" s="312"/>
      <c r="G62" s="307"/>
      <c r="H62" s="312"/>
      <c r="I62" s="310"/>
      <c r="J62" s="311"/>
      <c r="K62" s="310"/>
      <c r="L62" s="311"/>
      <c r="M62" s="310"/>
      <c r="N62" s="312"/>
      <c r="O62" s="307"/>
      <c r="P62" s="312"/>
      <c r="Q62" s="307"/>
      <c r="R62" s="311"/>
      <c r="S62" s="307"/>
      <c r="T62" s="312"/>
      <c r="U62" s="307"/>
      <c r="V62" s="312"/>
      <c r="W62" s="307"/>
      <c r="X62" s="312"/>
      <c r="Y62" s="304">
        <f t="shared" si="0"/>
        <v>0</v>
      </c>
    </row>
    <row r="63" spans="1:25" ht="19" x14ac:dyDescent="0.25">
      <c r="A63" s="77"/>
      <c r="B63" s="77"/>
      <c r="C63" s="77"/>
      <c r="D63" s="325" t="s">
        <v>319</v>
      </c>
      <c r="E63" s="305"/>
      <c r="F63" s="312"/>
      <c r="G63" s="307"/>
      <c r="H63" s="312"/>
      <c r="I63" s="310"/>
      <c r="J63" s="311"/>
      <c r="K63" s="310"/>
      <c r="L63" s="311"/>
      <c r="M63" s="310"/>
      <c r="N63" s="312"/>
      <c r="O63" s="307"/>
      <c r="P63" s="312"/>
      <c r="Q63" s="307"/>
      <c r="R63" s="311"/>
      <c r="S63" s="307"/>
      <c r="T63" s="312"/>
      <c r="U63" s="307"/>
      <c r="V63" s="312"/>
      <c r="W63" s="307"/>
      <c r="X63" s="312"/>
      <c r="Y63" s="304">
        <f t="shared" si="0"/>
        <v>0</v>
      </c>
    </row>
    <row r="64" spans="1:25" ht="19" x14ac:dyDescent="0.25">
      <c r="A64" s="77"/>
      <c r="B64" s="77"/>
      <c r="C64" s="77"/>
      <c r="D64" s="325" t="s">
        <v>320</v>
      </c>
      <c r="E64" s="305"/>
      <c r="F64" s="312"/>
      <c r="G64" s="307"/>
      <c r="H64" s="312"/>
      <c r="I64" s="310"/>
      <c r="J64" s="311"/>
      <c r="K64" s="310"/>
      <c r="L64" s="311"/>
      <c r="M64" s="310"/>
      <c r="N64" s="312"/>
      <c r="O64" s="307"/>
      <c r="P64" s="312"/>
      <c r="Q64" s="307"/>
      <c r="R64" s="311"/>
      <c r="S64" s="307"/>
      <c r="T64" s="312"/>
      <c r="U64" s="307"/>
      <c r="V64" s="312"/>
      <c r="W64" s="307"/>
      <c r="X64" s="312"/>
      <c r="Y64" s="304">
        <f t="shared" si="0"/>
        <v>0</v>
      </c>
    </row>
    <row r="65" spans="1:25" ht="19" x14ac:dyDescent="0.25">
      <c r="A65" s="77"/>
      <c r="B65" s="77"/>
      <c r="C65" s="77"/>
      <c r="D65" s="325" t="s">
        <v>321</v>
      </c>
      <c r="E65" s="305"/>
      <c r="F65" s="312"/>
      <c r="G65" s="307"/>
      <c r="H65" s="312"/>
      <c r="I65" s="310"/>
      <c r="J65" s="311"/>
      <c r="K65" s="310"/>
      <c r="L65" s="311"/>
      <c r="M65" s="310"/>
      <c r="N65" s="312"/>
      <c r="O65" s="307"/>
      <c r="P65" s="312"/>
      <c r="Q65" s="307"/>
      <c r="R65" s="311"/>
      <c r="S65" s="307"/>
      <c r="T65" s="312"/>
      <c r="U65" s="307"/>
      <c r="V65" s="312"/>
      <c r="W65" s="307"/>
      <c r="X65" s="312"/>
      <c r="Y65" s="304">
        <f t="shared" si="0"/>
        <v>0</v>
      </c>
    </row>
    <row r="66" spans="1:25" ht="19" x14ac:dyDescent="0.25">
      <c r="A66" s="77"/>
      <c r="B66" s="77"/>
      <c r="C66" s="77"/>
      <c r="D66" s="326" t="s">
        <v>322</v>
      </c>
      <c r="E66" s="305"/>
      <c r="F66" s="312"/>
      <c r="G66" s="307"/>
      <c r="H66" s="312"/>
      <c r="I66" s="310"/>
      <c r="J66" s="311"/>
      <c r="K66" s="310"/>
      <c r="L66" s="311"/>
      <c r="M66" s="310"/>
      <c r="N66" s="312"/>
      <c r="O66" s="307"/>
      <c r="P66" s="312"/>
      <c r="Q66" s="307"/>
      <c r="R66" s="311"/>
      <c r="S66" s="307"/>
      <c r="T66" s="312"/>
      <c r="U66" s="307"/>
      <c r="V66" s="312"/>
      <c r="W66" s="307"/>
      <c r="X66" s="312"/>
      <c r="Y66" s="304">
        <f t="shared" si="0"/>
        <v>0</v>
      </c>
    </row>
    <row r="67" spans="1:25" ht="19" x14ac:dyDescent="0.25">
      <c r="A67" s="367"/>
      <c r="B67" s="367"/>
      <c r="C67" s="367"/>
      <c r="D67" s="367"/>
      <c r="E67" s="305"/>
      <c r="F67" s="312"/>
      <c r="G67" s="307"/>
      <c r="H67" s="312"/>
      <c r="I67" s="310"/>
      <c r="J67" s="311"/>
      <c r="K67" s="310"/>
      <c r="L67" s="311"/>
      <c r="M67" s="310"/>
      <c r="N67" s="312"/>
      <c r="O67" s="307"/>
      <c r="P67" s="312"/>
      <c r="Q67" s="307"/>
      <c r="R67" s="311"/>
      <c r="S67" s="307"/>
      <c r="T67" s="312"/>
      <c r="U67" s="307"/>
      <c r="V67" s="312"/>
      <c r="W67" s="307"/>
      <c r="X67" s="312"/>
      <c r="Y67" s="304">
        <f t="shared" si="0"/>
        <v>0</v>
      </c>
    </row>
    <row r="68" spans="1:25" ht="19" x14ac:dyDescent="0.25">
      <c r="A68" s="299"/>
      <c r="B68" s="299" t="s">
        <v>243</v>
      </c>
      <c r="C68" s="299"/>
      <c r="D68" s="299" t="s">
        <v>60</v>
      </c>
      <c r="E68" s="305"/>
      <c r="F68" s="312"/>
      <c r="G68" s="307"/>
      <c r="H68" s="312"/>
      <c r="I68" s="310"/>
      <c r="J68" s="311"/>
      <c r="K68" s="310"/>
      <c r="L68" s="311"/>
      <c r="M68" s="310"/>
      <c r="N68" s="312"/>
      <c r="O68" s="307"/>
      <c r="P68" s="312"/>
      <c r="Q68" s="307"/>
      <c r="R68" s="311"/>
      <c r="S68" s="307"/>
      <c r="T68" s="312"/>
      <c r="U68" s="307"/>
      <c r="V68" s="312"/>
      <c r="W68" s="307"/>
      <c r="X68" s="312"/>
      <c r="Y68" s="304">
        <f t="shared" si="0"/>
        <v>0</v>
      </c>
    </row>
    <row r="69" spans="1:25" ht="19" x14ac:dyDescent="0.25">
      <c r="A69" s="318">
        <v>1</v>
      </c>
      <c r="B69" s="318"/>
      <c r="C69" s="318"/>
      <c r="D69" s="76" t="s">
        <v>61</v>
      </c>
      <c r="E69" s="305"/>
      <c r="F69" s="312"/>
      <c r="G69" s="307"/>
      <c r="H69" s="312"/>
      <c r="I69" s="308"/>
      <c r="J69" s="311"/>
      <c r="K69" s="310"/>
      <c r="L69" s="311"/>
      <c r="M69" s="310"/>
      <c r="N69" s="312"/>
      <c r="O69" s="307"/>
      <c r="P69" s="312"/>
      <c r="Q69" s="307"/>
      <c r="R69" s="311"/>
      <c r="S69" s="307"/>
      <c r="T69" s="312"/>
      <c r="U69" s="307"/>
      <c r="V69" s="312"/>
      <c r="W69" s="307"/>
      <c r="X69" s="312"/>
      <c r="Y69" s="304">
        <f t="shared" si="0"/>
        <v>0</v>
      </c>
    </row>
    <row r="70" spans="1:25" ht="19" x14ac:dyDescent="0.25">
      <c r="A70" s="318">
        <v>2</v>
      </c>
      <c r="B70" s="318"/>
      <c r="C70" s="318"/>
      <c r="D70" s="76" t="s">
        <v>62</v>
      </c>
      <c r="E70" s="305"/>
      <c r="F70" s="327"/>
      <c r="G70" s="307"/>
      <c r="H70" s="312"/>
      <c r="I70" s="310"/>
      <c r="J70" s="311"/>
      <c r="K70" s="310"/>
      <c r="L70" s="311"/>
      <c r="M70" s="310"/>
      <c r="N70" s="312"/>
      <c r="O70" s="307"/>
      <c r="P70" s="312"/>
      <c r="Q70" s="307"/>
      <c r="R70" s="311"/>
      <c r="S70" s="307"/>
      <c r="T70" s="312"/>
      <c r="U70" s="307"/>
      <c r="V70" s="312"/>
      <c r="W70" s="307"/>
      <c r="X70" s="312"/>
      <c r="Y70" s="304">
        <f t="shared" si="0"/>
        <v>0</v>
      </c>
    </row>
    <row r="71" spans="1:25" ht="19" x14ac:dyDescent="0.25">
      <c r="A71" s="318">
        <v>3</v>
      </c>
      <c r="B71" s="318"/>
      <c r="C71" s="318"/>
      <c r="D71" s="76" t="s">
        <v>63</v>
      </c>
      <c r="E71" s="305"/>
      <c r="F71" s="312"/>
      <c r="G71" s="307"/>
      <c r="H71" s="312"/>
      <c r="I71" s="310"/>
      <c r="J71" s="311"/>
      <c r="K71" s="310"/>
      <c r="L71" s="311"/>
      <c r="M71" s="310"/>
      <c r="N71" s="312"/>
      <c r="O71" s="307"/>
      <c r="P71" s="312"/>
      <c r="Q71" s="307"/>
      <c r="R71" s="311"/>
      <c r="S71" s="307"/>
      <c r="T71" s="312"/>
      <c r="U71" s="307"/>
      <c r="V71" s="312"/>
      <c r="W71" s="307"/>
      <c r="X71" s="312"/>
      <c r="Y71" s="304">
        <f t="shared" si="0"/>
        <v>0</v>
      </c>
    </row>
    <row r="72" spans="1:25" ht="19" x14ac:dyDescent="0.25">
      <c r="A72" s="318">
        <v>4</v>
      </c>
      <c r="B72" s="328"/>
      <c r="C72" s="328"/>
      <c r="D72" s="85" t="s">
        <v>64</v>
      </c>
      <c r="E72" s="305"/>
      <c r="F72" s="312"/>
      <c r="G72" s="307"/>
      <c r="H72" s="312"/>
      <c r="I72" s="310"/>
      <c r="J72" s="311"/>
      <c r="K72" s="310"/>
      <c r="L72" s="311"/>
      <c r="M72" s="310"/>
      <c r="N72" s="312"/>
      <c r="O72" s="307"/>
      <c r="P72" s="312"/>
      <c r="Q72" s="307"/>
      <c r="R72" s="311"/>
      <c r="S72" s="307"/>
      <c r="T72" s="312"/>
      <c r="U72" s="307"/>
      <c r="V72" s="312"/>
      <c r="W72" s="307"/>
      <c r="X72" s="312"/>
      <c r="Y72" s="304">
        <f t="shared" si="0"/>
        <v>0</v>
      </c>
    </row>
    <row r="73" spans="1:25" ht="19" x14ac:dyDescent="0.25">
      <c r="A73" s="318">
        <v>5</v>
      </c>
      <c r="B73" s="328"/>
      <c r="C73" s="328"/>
      <c r="D73" s="85" t="s">
        <v>65</v>
      </c>
      <c r="E73" s="305"/>
      <c r="F73" s="312"/>
      <c r="G73" s="307"/>
      <c r="H73" s="312"/>
      <c r="I73" s="310"/>
      <c r="J73" s="311"/>
      <c r="K73" s="310"/>
      <c r="L73" s="311"/>
      <c r="M73" s="310"/>
      <c r="N73" s="312"/>
      <c r="O73" s="307"/>
      <c r="P73" s="312"/>
      <c r="Q73" s="307"/>
      <c r="R73" s="311"/>
      <c r="S73" s="307"/>
      <c r="T73" s="312"/>
      <c r="U73" s="307"/>
      <c r="V73" s="312"/>
      <c r="W73" s="307"/>
      <c r="X73" s="312"/>
      <c r="Y73" s="304">
        <f t="shared" si="0"/>
        <v>0</v>
      </c>
    </row>
    <row r="74" spans="1:25" ht="19" x14ac:dyDescent="0.25">
      <c r="A74" s="318">
        <v>6</v>
      </c>
      <c r="B74" s="328"/>
      <c r="C74" s="328"/>
      <c r="D74" s="85" t="s">
        <v>66</v>
      </c>
      <c r="E74" s="305"/>
      <c r="F74" s="312"/>
      <c r="G74" s="307"/>
      <c r="H74" s="312"/>
      <c r="I74" s="310"/>
      <c r="J74" s="311"/>
      <c r="K74" s="310"/>
      <c r="L74" s="311"/>
      <c r="M74" s="310"/>
      <c r="N74" s="312"/>
      <c r="O74" s="307"/>
      <c r="P74" s="312"/>
      <c r="Q74" s="307"/>
      <c r="R74" s="311"/>
      <c r="S74" s="307"/>
      <c r="T74" s="312"/>
      <c r="U74" s="307"/>
      <c r="V74" s="312"/>
      <c r="W74" s="307"/>
      <c r="X74" s="312"/>
      <c r="Y74" s="304">
        <f t="shared" si="0"/>
        <v>0</v>
      </c>
    </row>
    <row r="75" spans="1:25" ht="19" x14ac:dyDescent="0.25">
      <c r="A75" s="318">
        <v>7</v>
      </c>
      <c r="B75" s="329"/>
      <c r="C75" s="329"/>
      <c r="D75" s="86" t="s">
        <v>67</v>
      </c>
      <c r="E75" s="305"/>
      <c r="F75" s="312"/>
      <c r="G75" s="307"/>
      <c r="H75" s="312"/>
      <c r="I75" s="308"/>
      <c r="J75" s="311"/>
      <c r="K75" s="310"/>
      <c r="L75" s="311"/>
      <c r="M75" s="310"/>
      <c r="N75" s="312"/>
      <c r="O75" s="307"/>
      <c r="P75" s="312"/>
      <c r="Q75" s="307"/>
      <c r="R75" s="311"/>
      <c r="S75" s="307"/>
      <c r="T75" s="312"/>
      <c r="U75" s="307"/>
      <c r="V75" s="312"/>
      <c r="W75" s="307"/>
      <c r="X75" s="312"/>
      <c r="Y75" s="304">
        <f t="shared" si="0"/>
        <v>0</v>
      </c>
    </row>
    <row r="76" spans="1:25" ht="19" x14ac:dyDescent="0.25">
      <c r="A76" s="318">
        <v>8</v>
      </c>
      <c r="B76" s="329"/>
      <c r="C76" s="329"/>
      <c r="D76" s="86" t="s">
        <v>68</v>
      </c>
      <c r="E76" s="305"/>
      <c r="F76" s="312"/>
      <c r="G76" s="307"/>
      <c r="H76" s="312"/>
      <c r="I76" s="310"/>
      <c r="J76" s="311"/>
      <c r="K76" s="310"/>
      <c r="L76" s="311"/>
      <c r="M76" s="310"/>
      <c r="N76" s="312"/>
      <c r="O76" s="307"/>
      <c r="P76" s="312"/>
      <c r="Q76" s="307"/>
      <c r="R76" s="311"/>
      <c r="S76" s="307"/>
      <c r="T76" s="312"/>
      <c r="U76" s="307"/>
      <c r="V76" s="312"/>
      <c r="W76" s="307"/>
      <c r="X76" s="312"/>
      <c r="Y76" s="304">
        <f t="shared" ref="Y76:Y139" si="1">SUM(E76:X76)</f>
        <v>0</v>
      </c>
    </row>
    <row r="77" spans="1:25" ht="19" x14ac:dyDescent="0.25">
      <c r="A77" s="318">
        <v>9</v>
      </c>
      <c r="B77" s="330"/>
      <c r="C77" s="330"/>
      <c r="D77" s="84" t="s">
        <v>69</v>
      </c>
      <c r="E77" s="305"/>
      <c r="F77" s="312"/>
      <c r="G77" s="307"/>
      <c r="H77" s="312"/>
      <c r="I77" s="310"/>
      <c r="J77" s="311"/>
      <c r="K77" s="310"/>
      <c r="L77" s="311"/>
      <c r="M77" s="310"/>
      <c r="N77" s="312"/>
      <c r="O77" s="307"/>
      <c r="P77" s="312"/>
      <c r="Q77" s="307"/>
      <c r="R77" s="311"/>
      <c r="S77" s="307"/>
      <c r="T77" s="312"/>
      <c r="U77" s="307"/>
      <c r="V77" s="312"/>
      <c r="W77" s="307"/>
      <c r="X77" s="312"/>
      <c r="Y77" s="304">
        <f t="shared" si="1"/>
        <v>0</v>
      </c>
    </row>
    <row r="78" spans="1:25" ht="19" x14ac:dyDescent="0.25">
      <c r="A78" s="318">
        <v>10</v>
      </c>
      <c r="B78" s="330"/>
      <c r="C78" s="330"/>
      <c r="D78" s="84" t="s">
        <v>70</v>
      </c>
      <c r="E78" s="305"/>
      <c r="F78" s="312"/>
      <c r="G78" s="307"/>
      <c r="H78" s="312"/>
      <c r="I78" s="310"/>
      <c r="J78" s="311"/>
      <c r="K78" s="310"/>
      <c r="L78" s="311"/>
      <c r="M78" s="310"/>
      <c r="N78" s="312"/>
      <c r="O78" s="307"/>
      <c r="P78" s="312"/>
      <c r="Q78" s="307"/>
      <c r="R78" s="311"/>
      <c r="S78" s="307"/>
      <c r="T78" s="312"/>
      <c r="U78" s="307"/>
      <c r="V78" s="312"/>
      <c r="W78" s="307"/>
      <c r="X78" s="312"/>
      <c r="Y78" s="304">
        <f t="shared" si="1"/>
        <v>0</v>
      </c>
    </row>
    <row r="79" spans="1:25" ht="19" x14ac:dyDescent="0.25">
      <c r="A79" s="318">
        <v>11</v>
      </c>
      <c r="B79" s="331"/>
      <c r="C79" s="331"/>
      <c r="D79" s="87" t="s">
        <v>71</v>
      </c>
      <c r="E79" s="305"/>
      <c r="F79" s="312"/>
      <c r="G79" s="307"/>
      <c r="H79" s="312"/>
      <c r="I79" s="308"/>
      <c r="J79" s="311"/>
      <c r="K79" s="310"/>
      <c r="L79" s="311"/>
      <c r="M79" s="332"/>
      <c r="N79" s="312"/>
      <c r="O79" s="307"/>
      <c r="P79" s="312"/>
      <c r="Q79" s="307"/>
      <c r="R79" s="311"/>
      <c r="S79" s="307"/>
      <c r="T79" s="312"/>
      <c r="U79" s="307"/>
      <c r="V79" s="312"/>
      <c r="W79" s="307"/>
      <c r="X79" s="312"/>
      <c r="Y79" s="304">
        <f t="shared" si="1"/>
        <v>0</v>
      </c>
    </row>
    <row r="80" spans="1:25" ht="19" x14ac:dyDescent="0.25">
      <c r="A80" s="318">
        <v>12</v>
      </c>
      <c r="B80" s="331"/>
      <c r="C80" s="331"/>
      <c r="D80" s="87" t="s">
        <v>72</v>
      </c>
      <c r="E80" s="305"/>
      <c r="F80" s="312">
        <v>7</v>
      </c>
      <c r="G80" s="307"/>
      <c r="H80" s="312"/>
      <c r="I80" s="308"/>
      <c r="J80" s="311"/>
      <c r="K80" s="310"/>
      <c r="L80" s="311"/>
      <c r="M80" s="310"/>
      <c r="N80" s="312"/>
      <c r="O80" s="307"/>
      <c r="P80" s="312"/>
      <c r="Q80" s="307"/>
      <c r="R80" s="311"/>
      <c r="S80" s="307"/>
      <c r="T80" s="312"/>
      <c r="U80" s="307"/>
      <c r="V80" s="312"/>
      <c r="W80" s="307"/>
      <c r="X80" s="312"/>
      <c r="Y80" s="304">
        <f t="shared" si="1"/>
        <v>7</v>
      </c>
    </row>
    <row r="81" spans="1:25" ht="19" x14ac:dyDescent="0.25">
      <c r="A81" s="318">
        <v>13</v>
      </c>
      <c r="B81" s="333"/>
      <c r="C81" s="333"/>
      <c r="D81" s="88" t="s">
        <v>73</v>
      </c>
      <c r="E81" s="305"/>
      <c r="F81" s="312"/>
      <c r="G81" s="307"/>
      <c r="H81" s="312"/>
      <c r="I81" s="310"/>
      <c r="J81" s="311"/>
      <c r="K81" s="310"/>
      <c r="L81" s="311"/>
      <c r="M81" s="310"/>
      <c r="N81" s="312"/>
      <c r="O81" s="307"/>
      <c r="P81" s="312"/>
      <c r="Q81" s="307"/>
      <c r="R81" s="311"/>
      <c r="S81" s="307"/>
      <c r="T81" s="312"/>
      <c r="U81" s="307"/>
      <c r="V81" s="312"/>
      <c r="W81" s="307"/>
      <c r="X81" s="312"/>
      <c r="Y81" s="304">
        <f t="shared" si="1"/>
        <v>0</v>
      </c>
    </row>
    <row r="82" spans="1:25" ht="19" x14ac:dyDescent="0.25">
      <c r="A82" s="318">
        <v>14</v>
      </c>
      <c r="B82" s="333"/>
      <c r="C82" s="333"/>
      <c r="D82" s="88" t="s">
        <v>74</v>
      </c>
      <c r="E82" s="305"/>
      <c r="F82" s="312"/>
      <c r="G82" s="307"/>
      <c r="H82" s="312"/>
      <c r="I82" s="310"/>
      <c r="J82" s="311"/>
      <c r="K82" s="310"/>
      <c r="L82" s="311"/>
      <c r="M82" s="310"/>
      <c r="N82" s="312"/>
      <c r="O82" s="307"/>
      <c r="P82" s="312"/>
      <c r="Q82" s="307"/>
      <c r="R82" s="311"/>
      <c r="S82" s="307"/>
      <c r="T82" s="312"/>
      <c r="U82" s="307"/>
      <c r="V82" s="312"/>
      <c r="W82" s="307"/>
      <c r="X82" s="312"/>
      <c r="Y82" s="304">
        <f t="shared" si="1"/>
        <v>0</v>
      </c>
    </row>
    <row r="83" spans="1:25" ht="19" x14ac:dyDescent="0.25">
      <c r="A83" s="318">
        <v>15</v>
      </c>
      <c r="B83" s="333"/>
      <c r="C83" s="333"/>
      <c r="D83" s="88" t="s">
        <v>75</v>
      </c>
      <c r="E83" s="305"/>
      <c r="F83" s="312"/>
      <c r="G83" s="307"/>
      <c r="H83" s="312"/>
      <c r="I83" s="310"/>
      <c r="J83" s="311"/>
      <c r="K83" s="310"/>
      <c r="L83" s="311"/>
      <c r="M83" s="310"/>
      <c r="N83" s="312"/>
      <c r="O83" s="307"/>
      <c r="P83" s="312"/>
      <c r="Q83" s="307"/>
      <c r="R83" s="311"/>
      <c r="S83" s="307"/>
      <c r="T83" s="312"/>
      <c r="U83" s="307"/>
      <c r="V83" s="312"/>
      <c r="W83" s="307"/>
      <c r="X83" s="312"/>
      <c r="Y83" s="304">
        <f t="shared" si="1"/>
        <v>0</v>
      </c>
    </row>
    <row r="84" spans="1:25" ht="19" x14ac:dyDescent="0.25">
      <c r="A84" s="318">
        <v>16</v>
      </c>
      <c r="B84" s="333"/>
      <c r="C84" s="333"/>
      <c r="D84" s="88" t="s">
        <v>76</v>
      </c>
      <c r="E84" s="305"/>
      <c r="F84" s="312"/>
      <c r="G84" s="307"/>
      <c r="H84" s="312"/>
      <c r="I84" s="310"/>
      <c r="J84" s="311"/>
      <c r="K84" s="310"/>
      <c r="L84" s="311"/>
      <c r="M84" s="310"/>
      <c r="N84" s="312"/>
      <c r="O84" s="307"/>
      <c r="P84" s="312"/>
      <c r="Q84" s="307"/>
      <c r="R84" s="311"/>
      <c r="S84" s="307"/>
      <c r="T84" s="312"/>
      <c r="U84" s="307"/>
      <c r="V84" s="312"/>
      <c r="W84" s="307"/>
      <c r="X84" s="312"/>
      <c r="Y84" s="304">
        <f t="shared" si="1"/>
        <v>0</v>
      </c>
    </row>
    <row r="85" spans="1:25" ht="19" x14ac:dyDescent="0.25">
      <c r="A85" s="318">
        <v>17</v>
      </c>
      <c r="B85" s="334"/>
      <c r="C85" s="334"/>
      <c r="D85" s="89" t="s">
        <v>77</v>
      </c>
      <c r="E85" s="305"/>
      <c r="F85" s="312"/>
      <c r="G85" s="307"/>
      <c r="H85" s="312"/>
      <c r="I85" s="310"/>
      <c r="J85" s="311"/>
      <c r="K85" s="310"/>
      <c r="L85" s="311"/>
      <c r="M85" s="310"/>
      <c r="N85" s="312"/>
      <c r="O85" s="307"/>
      <c r="P85" s="312"/>
      <c r="Q85" s="307"/>
      <c r="R85" s="311"/>
      <c r="S85" s="307"/>
      <c r="T85" s="312"/>
      <c r="U85" s="307"/>
      <c r="V85" s="312"/>
      <c r="W85" s="307"/>
      <c r="X85" s="312"/>
      <c r="Y85" s="304">
        <f t="shared" si="1"/>
        <v>0</v>
      </c>
    </row>
    <row r="86" spans="1:25" ht="19" x14ac:dyDescent="0.25">
      <c r="A86" s="318">
        <v>18</v>
      </c>
      <c r="B86" s="334"/>
      <c r="C86" s="334"/>
      <c r="D86" s="89" t="s">
        <v>78</v>
      </c>
      <c r="E86" s="305"/>
      <c r="F86" s="312"/>
      <c r="G86" s="307"/>
      <c r="H86" s="312"/>
      <c r="I86" s="310"/>
      <c r="J86" s="311"/>
      <c r="K86" s="310"/>
      <c r="L86" s="311"/>
      <c r="M86" s="310"/>
      <c r="N86" s="312"/>
      <c r="O86" s="307"/>
      <c r="P86" s="312"/>
      <c r="Q86" s="307"/>
      <c r="R86" s="311"/>
      <c r="S86" s="307"/>
      <c r="T86" s="312"/>
      <c r="U86" s="307"/>
      <c r="V86" s="312"/>
      <c r="W86" s="307"/>
      <c r="X86" s="312"/>
      <c r="Y86" s="304">
        <f t="shared" si="1"/>
        <v>0</v>
      </c>
    </row>
    <row r="87" spans="1:25" ht="19" x14ac:dyDescent="0.25">
      <c r="A87" s="318">
        <v>19</v>
      </c>
      <c r="B87" s="334"/>
      <c r="C87" s="334"/>
      <c r="D87" s="89" t="s">
        <v>79</v>
      </c>
      <c r="E87" s="305"/>
      <c r="F87" s="312"/>
      <c r="G87" s="307"/>
      <c r="H87" s="312"/>
      <c r="I87" s="310"/>
      <c r="J87" s="311"/>
      <c r="K87" s="310"/>
      <c r="L87" s="311"/>
      <c r="M87" s="310"/>
      <c r="N87" s="312"/>
      <c r="O87" s="307"/>
      <c r="P87" s="312"/>
      <c r="Q87" s="307"/>
      <c r="R87" s="311"/>
      <c r="S87" s="307"/>
      <c r="T87" s="312"/>
      <c r="U87" s="307"/>
      <c r="V87" s="312"/>
      <c r="W87" s="307"/>
      <c r="X87" s="312"/>
      <c r="Y87" s="304">
        <f t="shared" si="1"/>
        <v>0</v>
      </c>
    </row>
    <row r="88" spans="1:25" ht="19" x14ac:dyDescent="0.25">
      <c r="A88" s="318">
        <v>20</v>
      </c>
      <c r="B88" s="334"/>
      <c r="C88" s="334"/>
      <c r="D88" s="89" t="s">
        <v>80</v>
      </c>
      <c r="E88" s="305"/>
      <c r="F88" s="312"/>
      <c r="G88" s="307"/>
      <c r="H88" s="312"/>
      <c r="I88" s="310"/>
      <c r="J88" s="311"/>
      <c r="K88" s="310"/>
      <c r="L88" s="311"/>
      <c r="M88" s="310"/>
      <c r="N88" s="312"/>
      <c r="O88" s="307"/>
      <c r="P88" s="312"/>
      <c r="Q88" s="307"/>
      <c r="R88" s="311"/>
      <c r="S88" s="307"/>
      <c r="T88" s="312"/>
      <c r="U88" s="307"/>
      <c r="V88" s="312"/>
      <c r="W88" s="307"/>
      <c r="X88" s="312"/>
      <c r="Y88" s="304">
        <f t="shared" si="1"/>
        <v>0</v>
      </c>
    </row>
    <row r="89" spans="1:25" ht="19" x14ac:dyDescent="0.25">
      <c r="A89" s="318">
        <v>21</v>
      </c>
      <c r="B89" s="334"/>
      <c r="C89" s="334"/>
      <c r="D89" s="89" t="s">
        <v>302</v>
      </c>
      <c r="E89" s="305"/>
      <c r="F89" s="312"/>
      <c r="G89" s="307"/>
      <c r="H89" s="312"/>
      <c r="I89" s="310"/>
      <c r="J89" s="311"/>
      <c r="K89" s="310"/>
      <c r="L89" s="311"/>
      <c r="M89" s="310"/>
      <c r="N89" s="312"/>
      <c r="O89" s="307"/>
      <c r="P89" s="312"/>
      <c r="Q89" s="307"/>
      <c r="R89" s="311"/>
      <c r="S89" s="307"/>
      <c r="T89" s="312"/>
      <c r="U89" s="307"/>
      <c r="V89" s="312"/>
      <c r="W89" s="307"/>
      <c r="X89" s="312"/>
      <c r="Y89" s="304">
        <f t="shared" si="1"/>
        <v>0</v>
      </c>
    </row>
    <row r="90" spans="1:25" ht="19" x14ac:dyDescent="0.25">
      <c r="A90" s="318">
        <v>22</v>
      </c>
      <c r="B90" s="334"/>
      <c r="C90" s="334"/>
      <c r="D90" s="89" t="s">
        <v>81</v>
      </c>
      <c r="E90" s="305"/>
      <c r="F90" s="312"/>
      <c r="G90" s="307"/>
      <c r="H90" s="312"/>
      <c r="I90" s="310"/>
      <c r="J90" s="311"/>
      <c r="K90" s="310"/>
      <c r="L90" s="311"/>
      <c r="M90" s="310"/>
      <c r="N90" s="312"/>
      <c r="O90" s="307"/>
      <c r="P90" s="312"/>
      <c r="Q90" s="307"/>
      <c r="R90" s="311"/>
      <c r="S90" s="307"/>
      <c r="T90" s="312"/>
      <c r="U90" s="307"/>
      <c r="V90" s="312"/>
      <c r="W90" s="307"/>
      <c r="X90" s="312"/>
      <c r="Y90" s="304">
        <f t="shared" si="1"/>
        <v>0</v>
      </c>
    </row>
    <row r="91" spans="1:25" ht="19" x14ac:dyDescent="0.25">
      <c r="A91" s="365"/>
      <c r="B91" s="365"/>
      <c r="C91" s="365"/>
      <c r="D91" s="365"/>
      <c r="E91" s="305"/>
      <c r="F91" s="312"/>
      <c r="G91" s="307"/>
      <c r="H91" s="312"/>
      <c r="I91" s="310"/>
      <c r="J91" s="311"/>
      <c r="K91" s="310"/>
      <c r="L91" s="311"/>
      <c r="M91" s="310"/>
      <c r="N91" s="312"/>
      <c r="O91" s="307"/>
      <c r="P91" s="312"/>
      <c r="Q91" s="307"/>
      <c r="R91" s="311"/>
      <c r="S91" s="307"/>
      <c r="T91" s="312"/>
      <c r="U91" s="307"/>
      <c r="V91" s="312"/>
      <c r="W91" s="307"/>
      <c r="X91" s="312"/>
      <c r="Y91" s="304">
        <f t="shared" si="1"/>
        <v>0</v>
      </c>
    </row>
    <row r="92" spans="1:25" ht="19" x14ac:dyDescent="0.25">
      <c r="A92" s="299"/>
      <c r="B92" s="299" t="s">
        <v>243</v>
      </c>
      <c r="C92" s="299"/>
      <c r="D92" s="299" t="s">
        <v>82</v>
      </c>
      <c r="E92" s="305"/>
      <c r="F92" s="312"/>
      <c r="G92" s="307"/>
      <c r="H92" s="312"/>
      <c r="I92" s="310"/>
      <c r="J92" s="311"/>
      <c r="K92" s="310"/>
      <c r="L92" s="311"/>
      <c r="M92" s="310"/>
      <c r="N92" s="312"/>
      <c r="O92" s="307"/>
      <c r="P92" s="312"/>
      <c r="Q92" s="307"/>
      <c r="R92" s="311"/>
      <c r="S92" s="307"/>
      <c r="T92" s="312"/>
      <c r="U92" s="307"/>
      <c r="V92" s="312"/>
      <c r="W92" s="307"/>
      <c r="X92" s="312"/>
      <c r="Y92" s="304">
        <f t="shared" si="1"/>
        <v>0</v>
      </c>
    </row>
    <row r="93" spans="1:25" ht="19" x14ac:dyDescent="0.25">
      <c r="A93" s="91">
        <v>1</v>
      </c>
      <c r="B93" s="91"/>
      <c r="C93" s="91"/>
      <c r="D93" s="90" t="s">
        <v>83</v>
      </c>
      <c r="E93" s="305"/>
      <c r="F93" s="312"/>
      <c r="G93" s="307"/>
      <c r="H93" s="312"/>
      <c r="I93" s="310"/>
      <c r="J93" s="311"/>
      <c r="K93" s="310"/>
      <c r="L93" s="311"/>
      <c r="M93" s="310"/>
      <c r="N93" s="312"/>
      <c r="O93" s="307"/>
      <c r="P93" s="312"/>
      <c r="Q93" s="307"/>
      <c r="R93" s="311"/>
      <c r="S93" s="307"/>
      <c r="T93" s="312"/>
      <c r="U93" s="307"/>
      <c r="V93" s="312"/>
      <c r="W93" s="307"/>
      <c r="X93" s="312"/>
      <c r="Y93" s="304">
        <f t="shared" si="1"/>
        <v>0</v>
      </c>
    </row>
    <row r="94" spans="1:25" ht="19" x14ac:dyDescent="0.25">
      <c r="A94" s="91">
        <v>2</v>
      </c>
      <c r="B94" s="91"/>
      <c r="C94" s="91"/>
      <c r="D94" s="90" t="s">
        <v>84</v>
      </c>
      <c r="E94" s="305"/>
      <c r="F94" s="312"/>
      <c r="G94" s="307"/>
      <c r="H94" s="312"/>
      <c r="I94" s="310"/>
      <c r="J94" s="311"/>
      <c r="K94" s="310"/>
      <c r="L94" s="311"/>
      <c r="M94" s="310"/>
      <c r="N94" s="312"/>
      <c r="O94" s="307"/>
      <c r="P94" s="312"/>
      <c r="Q94" s="307"/>
      <c r="R94" s="311"/>
      <c r="S94" s="307"/>
      <c r="T94" s="312"/>
      <c r="U94" s="307"/>
      <c r="V94" s="312"/>
      <c r="W94" s="307"/>
      <c r="X94" s="312"/>
      <c r="Y94" s="304">
        <f t="shared" si="1"/>
        <v>0</v>
      </c>
    </row>
    <row r="95" spans="1:25" ht="19" x14ac:dyDescent="0.25">
      <c r="A95" s="91">
        <v>3</v>
      </c>
      <c r="B95" s="91"/>
      <c r="C95" s="91"/>
      <c r="D95" s="90" t="s">
        <v>85</v>
      </c>
      <c r="E95" s="305"/>
      <c r="F95" s="312"/>
      <c r="G95" s="307"/>
      <c r="H95" s="312"/>
      <c r="I95" s="310"/>
      <c r="J95" s="311"/>
      <c r="K95" s="310"/>
      <c r="L95" s="311"/>
      <c r="M95" s="310"/>
      <c r="N95" s="312"/>
      <c r="O95" s="307"/>
      <c r="P95" s="312"/>
      <c r="Q95" s="307"/>
      <c r="R95" s="311"/>
      <c r="S95" s="307"/>
      <c r="T95" s="312"/>
      <c r="U95" s="307"/>
      <c r="V95" s="312"/>
      <c r="W95" s="307"/>
      <c r="X95" s="312"/>
      <c r="Y95" s="304">
        <f t="shared" si="1"/>
        <v>0</v>
      </c>
    </row>
    <row r="96" spans="1:25" ht="19" x14ac:dyDescent="0.25">
      <c r="A96" s="91">
        <v>4</v>
      </c>
      <c r="B96" s="91"/>
      <c r="C96" s="91"/>
      <c r="D96" s="91" t="s">
        <v>86</v>
      </c>
      <c r="E96" s="305"/>
      <c r="F96" s="312"/>
      <c r="G96" s="307"/>
      <c r="H96" s="312"/>
      <c r="I96" s="310"/>
      <c r="J96" s="311"/>
      <c r="K96" s="310"/>
      <c r="L96" s="311"/>
      <c r="M96" s="310"/>
      <c r="N96" s="312"/>
      <c r="O96" s="307"/>
      <c r="P96" s="312"/>
      <c r="Q96" s="307"/>
      <c r="R96" s="311"/>
      <c r="S96" s="307"/>
      <c r="T96" s="312"/>
      <c r="U96" s="307"/>
      <c r="V96" s="312"/>
      <c r="W96" s="307"/>
      <c r="X96" s="312"/>
      <c r="Y96" s="304">
        <f t="shared" si="1"/>
        <v>0</v>
      </c>
    </row>
    <row r="97" spans="1:25" ht="19" x14ac:dyDescent="0.25">
      <c r="A97" s="91">
        <v>5</v>
      </c>
      <c r="B97" s="91"/>
      <c r="C97" s="91"/>
      <c r="D97" s="90" t="s">
        <v>87</v>
      </c>
      <c r="E97" s="305"/>
      <c r="F97" s="312"/>
      <c r="G97" s="307"/>
      <c r="H97" s="312"/>
      <c r="I97" s="310"/>
      <c r="J97" s="311"/>
      <c r="K97" s="310"/>
      <c r="L97" s="311"/>
      <c r="M97" s="310"/>
      <c r="N97" s="312"/>
      <c r="O97" s="307"/>
      <c r="P97" s="312"/>
      <c r="Q97" s="307"/>
      <c r="R97" s="311"/>
      <c r="S97" s="307"/>
      <c r="T97" s="312"/>
      <c r="U97" s="307"/>
      <c r="V97" s="312"/>
      <c r="W97" s="307"/>
      <c r="X97" s="312"/>
      <c r="Y97" s="304">
        <f t="shared" si="1"/>
        <v>0</v>
      </c>
    </row>
    <row r="98" spans="1:25" ht="19" x14ac:dyDescent="0.25">
      <c r="A98" s="91">
        <v>6</v>
      </c>
      <c r="B98" s="91"/>
      <c r="C98" s="91"/>
      <c r="D98" s="91" t="s">
        <v>88</v>
      </c>
      <c r="E98" s="305"/>
      <c r="F98" s="312"/>
      <c r="G98" s="307"/>
      <c r="H98" s="312"/>
      <c r="I98" s="310"/>
      <c r="J98" s="311"/>
      <c r="K98" s="310"/>
      <c r="L98" s="311"/>
      <c r="M98" s="310"/>
      <c r="N98" s="312"/>
      <c r="O98" s="307"/>
      <c r="P98" s="312"/>
      <c r="Q98" s="307"/>
      <c r="R98" s="311"/>
      <c r="S98" s="307"/>
      <c r="T98" s="312"/>
      <c r="U98" s="307"/>
      <c r="V98" s="312"/>
      <c r="W98" s="307"/>
      <c r="X98" s="312"/>
      <c r="Y98" s="304">
        <f t="shared" si="1"/>
        <v>0</v>
      </c>
    </row>
    <row r="99" spans="1:25" ht="19" x14ac:dyDescent="0.25">
      <c r="A99" s="91">
        <v>7</v>
      </c>
      <c r="B99" s="91"/>
      <c r="C99" s="91"/>
      <c r="D99" s="91" t="s">
        <v>89</v>
      </c>
      <c r="E99" s="305"/>
      <c r="F99" s="312"/>
      <c r="G99" s="307"/>
      <c r="H99" s="312"/>
      <c r="I99" s="310"/>
      <c r="J99" s="311"/>
      <c r="K99" s="310"/>
      <c r="L99" s="311"/>
      <c r="M99" s="310"/>
      <c r="N99" s="312"/>
      <c r="O99" s="307"/>
      <c r="P99" s="312"/>
      <c r="Q99" s="307"/>
      <c r="R99" s="311"/>
      <c r="S99" s="307"/>
      <c r="T99" s="312"/>
      <c r="U99" s="307"/>
      <c r="V99" s="312"/>
      <c r="W99" s="307"/>
      <c r="X99" s="312"/>
      <c r="Y99" s="304">
        <f t="shared" si="1"/>
        <v>0</v>
      </c>
    </row>
    <row r="100" spans="1:25" ht="19" x14ac:dyDescent="0.25">
      <c r="A100" s="91">
        <v>8</v>
      </c>
      <c r="B100" s="91"/>
      <c r="C100" s="91"/>
      <c r="D100" s="91" t="s">
        <v>90</v>
      </c>
      <c r="E100" s="305"/>
      <c r="F100" s="312"/>
      <c r="G100" s="307"/>
      <c r="H100" s="312"/>
      <c r="I100" s="310"/>
      <c r="J100" s="311"/>
      <c r="K100" s="310"/>
      <c r="L100" s="311"/>
      <c r="M100" s="310"/>
      <c r="N100" s="312"/>
      <c r="O100" s="307"/>
      <c r="P100" s="312"/>
      <c r="Q100" s="307"/>
      <c r="R100" s="311"/>
      <c r="S100" s="307"/>
      <c r="T100" s="312"/>
      <c r="U100" s="307"/>
      <c r="V100" s="312"/>
      <c r="W100" s="307"/>
      <c r="X100" s="312"/>
      <c r="Y100" s="304">
        <f t="shared" si="1"/>
        <v>0</v>
      </c>
    </row>
    <row r="101" spans="1:25" ht="19" x14ac:dyDescent="0.25">
      <c r="A101" s="91">
        <v>9</v>
      </c>
      <c r="B101" s="91"/>
      <c r="C101" s="91"/>
      <c r="D101" s="91" t="s">
        <v>91</v>
      </c>
      <c r="E101" s="305"/>
      <c r="F101" s="312"/>
      <c r="G101" s="307"/>
      <c r="H101" s="312"/>
      <c r="I101" s="310"/>
      <c r="J101" s="311"/>
      <c r="K101" s="310"/>
      <c r="L101" s="311"/>
      <c r="M101" s="310"/>
      <c r="N101" s="312"/>
      <c r="O101" s="307"/>
      <c r="P101" s="312"/>
      <c r="Q101" s="307"/>
      <c r="R101" s="311"/>
      <c r="S101" s="307"/>
      <c r="T101" s="312"/>
      <c r="U101" s="307"/>
      <c r="V101" s="312"/>
      <c r="W101" s="307"/>
      <c r="X101" s="312"/>
      <c r="Y101" s="304">
        <f t="shared" si="1"/>
        <v>0</v>
      </c>
    </row>
    <row r="102" spans="1:25" ht="19" x14ac:dyDescent="0.25">
      <c r="A102" s="91">
        <v>10</v>
      </c>
      <c r="B102" s="91"/>
      <c r="C102" s="91"/>
      <c r="D102" s="91" t="s">
        <v>92</v>
      </c>
      <c r="E102" s="305"/>
      <c r="F102" s="312"/>
      <c r="G102" s="307"/>
      <c r="H102" s="312"/>
      <c r="I102" s="310"/>
      <c r="J102" s="311"/>
      <c r="K102" s="310"/>
      <c r="L102" s="311"/>
      <c r="M102" s="310"/>
      <c r="N102" s="312"/>
      <c r="O102" s="307"/>
      <c r="P102" s="312"/>
      <c r="Q102" s="307"/>
      <c r="R102" s="311"/>
      <c r="S102" s="307"/>
      <c r="T102" s="312"/>
      <c r="U102" s="307"/>
      <c r="V102" s="312"/>
      <c r="W102" s="307"/>
      <c r="X102" s="312"/>
      <c r="Y102" s="304">
        <f t="shared" si="1"/>
        <v>0</v>
      </c>
    </row>
    <row r="103" spans="1:25" ht="19" x14ac:dyDescent="0.25">
      <c r="A103" s="91">
        <v>11</v>
      </c>
      <c r="B103" s="91"/>
      <c r="C103" s="91"/>
      <c r="D103" s="91" t="s">
        <v>93</v>
      </c>
      <c r="E103" s="305"/>
      <c r="F103" s="312"/>
      <c r="G103" s="307"/>
      <c r="H103" s="312"/>
      <c r="I103" s="310"/>
      <c r="J103" s="311"/>
      <c r="K103" s="310"/>
      <c r="L103" s="311"/>
      <c r="M103" s="310"/>
      <c r="N103" s="312"/>
      <c r="O103" s="307"/>
      <c r="P103" s="312"/>
      <c r="Q103" s="307"/>
      <c r="R103" s="311"/>
      <c r="S103" s="307"/>
      <c r="T103" s="312"/>
      <c r="U103" s="307"/>
      <c r="V103" s="312"/>
      <c r="W103" s="307"/>
      <c r="X103" s="312"/>
      <c r="Y103" s="304">
        <f t="shared" si="1"/>
        <v>0</v>
      </c>
    </row>
    <row r="104" spans="1:25" ht="19" x14ac:dyDescent="0.25">
      <c r="A104" s="91">
        <v>12</v>
      </c>
      <c r="B104" s="91"/>
      <c r="C104" s="91"/>
      <c r="D104" s="91" t="s">
        <v>94</v>
      </c>
      <c r="E104" s="305"/>
      <c r="F104" s="312"/>
      <c r="G104" s="307"/>
      <c r="H104" s="312"/>
      <c r="I104" s="310"/>
      <c r="J104" s="311"/>
      <c r="K104" s="310"/>
      <c r="L104" s="311"/>
      <c r="M104" s="310"/>
      <c r="N104" s="312"/>
      <c r="O104" s="307"/>
      <c r="P104" s="312"/>
      <c r="Q104" s="307"/>
      <c r="R104" s="311"/>
      <c r="S104" s="307"/>
      <c r="T104" s="312"/>
      <c r="U104" s="307"/>
      <c r="V104" s="312"/>
      <c r="W104" s="307"/>
      <c r="X104" s="312"/>
      <c r="Y104" s="304">
        <f t="shared" si="1"/>
        <v>0</v>
      </c>
    </row>
    <row r="105" spans="1:25" ht="19" x14ac:dyDescent="0.25">
      <c r="A105" s="91">
        <v>13</v>
      </c>
      <c r="B105" s="91"/>
      <c r="C105" s="91"/>
      <c r="D105" s="91" t="s">
        <v>95</v>
      </c>
      <c r="E105" s="305"/>
      <c r="F105" s="312"/>
      <c r="G105" s="307"/>
      <c r="H105" s="312"/>
      <c r="I105" s="310"/>
      <c r="J105" s="311"/>
      <c r="K105" s="310"/>
      <c r="L105" s="311"/>
      <c r="M105" s="310"/>
      <c r="N105" s="312"/>
      <c r="O105" s="307"/>
      <c r="P105" s="312"/>
      <c r="Q105" s="307"/>
      <c r="R105" s="311"/>
      <c r="S105" s="307"/>
      <c r="T105" s="312"/>
      <c r="U105" s="307"/>
      <c r="V105" s="312"/>
      <c r="W105" s="307"/>
      <c r="X105" s="312"/>
      <c r="Y105" s="304">
        <f t="shared" si="1"/>
        <v>0</v>
      </c>
    </row>
    <row r="106" spans="1:25" ht="19" x14ac:dyDescent="0.25">
      <c r="A106" s="91">
        <v>14</v>
      </c>
      <c r="B106" s="91"/>
      <c r="C106" s="91"/>
      <c r="D106" s="91" t="s">
        <v>96</v>
      </c>
      <c r="E106" s="305"/>
      <c r="F106" s="312"/>
      <c r="G106" s="307"/>
      <c r="H106" s="312"/>
      <c r="I106" s="310"/>
      <c r="J106" s="311"/>
      <c r="K106" s="310"/>
      <c r="L106" s="311"/>
      <c r="M106" s="310"/>
      <c r="N106" s="312"/>
      <c r="O106" s="307"/>
      <c r="P106" s="312"/>
      <c r="Q106" s="307"/>
      <c r="R106" s="311"/>
      <c r="S106" s="307"/>
      <c r="T106" s="312"/>
      <c r="U106" s="307"/>
      <c r="V106" s="312"/>
      <c r="W106" s="307"/>
      <c r="X106" s="312"/>
      <c r="Y106" s="304">
        <f t="shared" si="1"/>
        <v>0</v>
      </c>
    </row>
    <row r="107" spans="1:25" ht="19" x14ac:dyDescent="0.25">
      <c r="A107" s="91">
        <v>15</v>
      </c>
      <c r="B107" s="91"/>
      <c r="C107" s="91"/>
      <c r="D107" s="91" t="s">
        <v>97</v>
      </c>
      <c r="E107" s="305"/>
      <c r="F107" s="312"/>
      <c r="G107" s="307"/>
      <c r="H107" s="312"/>
      <c r="I107" s="310"/>
      <c r="J107" s="311"/>
      <c r="K107" s="310"/>
      <c r="L107" s="311"/>
      <c r="M107" s="310"/>
      <c r="N107" s="312"/>
      <c r="O107" s="307"/>
      <c r="P107" s="312"/>
      <c r="Q107" s="307"/>
      <c r="R107" s="311"/>
      <c r="S107" s="307"/>
      <c r="T107" s="312"/>
      <c r="U107" s="307"/>
      <c r="V107" s="312"/>
      <c r="W107" s="307"/>
      <c r="X107" s="312"/>
      <c r="Y107" s="304">
        <f t="shared" si="1"/>
        <v>0</v>
      </c>
    </row>
    <row r="108" spans="1:25" ht="19" x14ac:dyDescent="0.25">
      <c r="A108" s="91">
        <v>16</v>
      </c>
      <c r="B108" s="91"/>
      <c r="C108" s="91"/>
      <c r="D108" s="91" t="s">
        <v>98</v>
      </c>
      <c r="E108" s="305"/>
      <c r="F108" s="312"/>
      <c r="G108" s="307"/>
      <c r="H108" s="312"/>
      <c r="I108" s="310"/>
      <c r="J108" s="311"/>
      <c r="K108" s="310"/>
      <c r="L108" s="311"/>
      <c r="M108" s="310"/>
      <c r="N108" s="312"/>
      <c r="O108" s="307"/>
      <c r="P108" s="312"/>
      <c r="Q108" s="307"/>
      <c r="R108" s="311"/>
      <c r="S108" s="307"/>
      <c r="T108" s="312"/>
      <c r="U108" s="307"/>
      <c r="V108" s="312"/>
      <c r="W108" s="307"/>
      <c r="X108" s="312"/>
      <c r="Y108" s="304">
        <f t="shared" si="1"/>
        <v>0</v>
      </c>
    </row>
    <row r="109" spans="1:25" ht="19" x14ac:dyDescent="0.25">
      <c r="A109" s="91">
        <v>17</v>
      </c>
      <c r="B109" s="91"/>
      <c r="C109" s="91"/>
      <c r="D109" s="91" t="s">
        <v>99</v>
      </c>
      <c r="E109" s="305"/>
      <c r="F109" s="312"/>
      <c r="G109" s="307"/>
      <c r="H109" s="312"/>
      <c r="I109" s="310"/>
      <c r="J109" s="311"/>
      <c r="K109" s="310"/>
      <c r="L109" s="311"/>
      <c r="M109" s="310"/>
      <c r="N109" s="312"/>
      <c r="O109" s="307"/>
      <c r="P109" s="312"/>
      <c r="Q109" s="307"/>
      <c r="R109" s="311"/>
      <c r="S109" s="307"/>
      <c r="T109" s="312"/>
      <c r="U109" s="307"/>
      <c r="V109" s="312"/>
      <c r="W109" s="307"/>
      <c r="X109" s="312"/>
      <c r="Y109" s="304">
        <f t="shared" si="1"/>
        <v>0</v>
      </c>
    </row>
    <row r="110" spans="1:25" ht="19" x14ac:dyDescent="0.25">
      <c r="A110" s="91">
        <v>18</v>
      </c>
      <c r="B110" s="91"/>
      <c r="C110" s="91"/>
      <c r="D110" s="91" t="s">
        <v>100</v>
      </c>
      <c r="E110" s="305"/>
      <c r="F110" s="312"/>
      <c r="G110" s="307"/>
      <c r="H110" s="312"/>
      <c r="I110" s="310"/>
      <c r="J110" s="311"/>
      <c r="K110" s="310"/>
      <c r="L110" s="311"/>
      <c r="M110" s="310"/>
      <c r="N110" s="312"/>
      <c r="O110" s="307"/>
      <c r="P110" s="312"/>
      <c r="Q110" s="307"/>
      <c r="R110" s="311"/>
      <c r="S110" s="307"/>
      <c r="T110" s="312"/>
      <c r="U110" s="307"/>
      <c r="V110" s="312"/>
      <c r="W110" s="307"/>
      <c r="X110" s="312"/>
      <c r="Y110" s="304">
        <f t="shared" si="1"/>
        <v>0</v>
      </c>
    </row>
    <row r="111" spans="1:25" ht="40" x14ac:dyDescent="0.25">
      <c r="A111" s="91">
        <v>19</v>
      </c>
      <c r="B111" s="91"/>
      <c r="C111" s="91"/>
      <c r="D111" s="92" t="s">
        <v>101</v>
      </c>
      <c r="E111" s="305"/>
      <c r="F111" s="312"/>
      <c r="G111" s="307"/>
      <c r="H111" s="312"/>
      <c r="I111" s="310"/>
      <c r="J111" s="311"/>
      <c r="K111" s="310"/>
      <c r="L111" s="311"/>
      <c r="M111" s="310"/>
      <c r="N111" s="312"/>
      <c r="O111" s="307"/>
      <c r="P111" s="312"/>
      <c r="Q111" s="307"/>
      <c r="R111" s="311"/>
      <c r="S111" s="307"/>
      <c r="T111" s="312"/>
      <c r="U111" s="307"/>
      <c r="V111" s="312"/>
      <c r="W111" s="307"/>
      <c r="X111" s="312"/>
      <c r="Y111" s="304">
        <f t="shared" si="1"/>
        <v>0</v>
      </c>
    </row>
    <row r="112" spans="1:25" ht="19" x14ac:dyDescent="0.25">
      <c r="A112" s="91">
        <v>20</v>
      </c>
      <c r="B112" s="91"/>
      <c r="C112" s="91"/>
      <c r="D112" s="91" t="s">
        <v>102</v>
      </c>
      <c r="E112" s="305"/>
      <c r="F112" s="312"/>
      <c r="G112" s="307"/>
      <c r="H112" s="312"/>
      <c r="I112" s="310"/>
      <c r="J112" s="311"/>
      <c r="K112" s="310"/>
      <c r="L112" s="311"/>
      <c r="M112" s="310"/>
      <c r="N112" s="312"/>
      <c r="O112" s="307"/>
      <c r="P112" s="312"/>
      <c r="Q112" s="307"/>
      <c r="R112" s="311"/>
      <c r="S112" s="307"/>
      <c r="T112" s="312"/>
      <c r="U112" s="307"/>
      <c r="V112" s="312"/>
      <c r="W112" s="307"/>
      <c r="X112" s="312"/>
      <c r="Y112" s="304">
        <f t="shared" si="1"/>
        <v>0</v>
      </c>
    </row>
    <row r="113" spans="1:25" ht="19" x14ac:dyDescent="0.25">
      <c r="A113" s="91">
        <v>21</v>
      </c>
      <c r="B113" s="91"/>
      <c r="C113" s="91"/>
      <c r="D113" s="91" t="s">
        <v>103</v>
      </c>
      <c r="E113" s="305"/>
      <c r="F113" s="312"/>
      <c r="G113" s="307"/>
      <c r="H113" s="312"/>
      <c r="I113" s="310"/>
      <c r="J113" s="311"/>
      <c r="K113" s="310"/>
      <c r="L113" s="311"/>
      <c r="M113" s="310"/>
      <c r="N113" s="312"/>
      <c r="O113" s="307"/>
      <c r="P113" s="312"/>
      <c r="Q113" s="307"/>
      <c r="R113" s="311"/>
      <c r="S113" s="307"/>
      <c r="T113" s="312"/>
      <c r="U113" s="307"/>
      <c r="V113" s="312"/>
      <c r="W113" s="307"/>
      <c r="X113" s="312"/>
      <c r="Y113" s="304">
        <f t="shared" si="1"/>
        <v>0</v>
      </c>
    </row>
    <row r="114" spans="1:25" ht="19" x14ac:dyDescent="0.25">
      <c r="A114" s="91">
        <v>22</v>
      </c>
      <c r="B114" s="91"/>
      <c r="C114" s="91"/>
      <c r="D114" s="91" t="s">
        <v>104</v>
      </c>
      <c r="E114" s="305"/>
      <c r="F114" s="312"/>
      <c r="G114" s="307"/>
      <c r="H114" s="312"/>
      <c r="I114" s="310"/>
      <c r="J114" s="311"/>
      <c r="K114" s="310"/>
      <c r="L114" s="311"/>
      <c r="M114" s="310"/>
      <c r="N114" s="312"/>
      <c r="O114" s="307"/>
      <c r="P114" s="312"/>
      <c r="Q114" s="307"/>
      <c r="R114" s="311"/>
      <c r="S114" s="307"/>
      <c r="T114" s="312"/>
      <c r="U114" s="307"/>
      <c r="V114" s="312"/>
      <c r="W114" s="307"/>
      <c r="X114" s="312"/>
      <c r="Y114" s="304">
        <f t="shared" si="1"/>
        <v>0</v>
      </c>
    </row>
    <row r="115" spans="1:25" ht="19" x14ac:dyDescent="0.25">
      <c r="A115" s="91">
        <v>23</v>
      </c>
      <c r="B115" s="91"/>
      <c r="C115" s="91"/>
      <c r="D115" s="91" t="s">
        <v>105</v>
      </c>
      <c r="E115" s="305"/>
      <c r="F115" s="312"/>
      <c r="G115" s="307"/>
      <c r="H115" s="312"/>
      <c r="I115" s="310"/>
      <c r="J115" s="311"/>
      <c r="K115" s="310"/>
      <c r="L115" s="311"/>
      <c r="M115" s="310"/>
      <c r="N115" s="312"/>
      <c r="O115" s="307"/>
      <c r="P115" s="312"/>
      <c r="Q115" s="307"/>
      <c r="R115" s="311"/>
      <c r="S115" s="307"/>
      <c r="T115" s="312"/>
      <c r="U115" s="307"/>
      <c r="V115" s="312"/>
      <c r="W115" s="307"/>
      <c r="X115" s="312"/>
      <c r="Y115" s="304">
        <f t="shared" si="1"/>
        <v>0</v>
      </c>
    </row>
    <row r="116" spans="1:25" ht="19" x14ac:dyDescent="0.25">
      <c r="A116" s="91">
        <v>24</v>
      </c>
      <c r="B116" s="91"/>
      <c r="C116" s="91"/>
      <c r="D116" s="91" t="s">
        <v>106</v>
      </c>
      <c r="E116" s="305"/>
      <c r="F116" s="312"/>
      <c r="G116" s="307"/>
      <c r="H116" s="312"/>
      <c r="I116" s="310"/>
      <c r="J116" s="311"/>
      <c r="K116" s="310"/>
      <c r="L116" s="311"/>
      <c r="M116" s="310"/>
      <c r="N116" s="312"/>
      <c r="O116" s="307"/>
      <c r="P116" s="312"/>
      <c r="Q116" s="307"/>
      <c r="R116" s="311"/>
      <c r="S116" s="307"/>
      <c r="T116" s="312"/>
      <c r="U116" s="307"/>
      <c r="V116" s="312"/>
      <c r="W116" s="307"/>
      <c r="X116" s="312"/>
      <c r="Y116" s="304">
        <f t="shared" si="1"/>
        <v>0</v>
      </c>
    </row>
    <row r="117" spans="1:25" ht="19" x14ac:dyDescent="0.25">
      <c r="A117" s="91">
        <v>25</v>
      </c>
      <c r="B117" s="91"/>
      <c r="C117" s="91"/>
      <c r="D117" s="91" t="s">
        <v>107</v>
      </c>
      <c r="E117" s="305"/>
      <c r="F117" s="312"/>
      <c r="G117" s="307"/>
      <c r="H117" s="312"/>
      <c r="I117" s="308"/>
      <c r="J117" s="311"/>
      <c r="K117" s="310"/>
      <c r="L117" s="311"/>
      <c r="M117" s="310"/>
      <c r="N117" s="312"/>
      <c r="O117" s="307"/>
      <c r="P117" s="312"/>
      <c r="Q117" s="307"/>
      <c r="R117" s="311"/>
      <c r="S117" s="307"/>
      <c r="T117" s="312"/>
      <c r="U117" s="307"/>
      <c r="V117" s="312"/>
      <c r="W117" s="307"/>
      <c r="X117" s="312"/>
      <c r="Y117" s="304">
        <f t="shared" si="1"/>
        <v>0</v>
      </c>
    </row>
    <row r="118" spans="1:25" ht="19" x14ac:dyDescent="0.25">
      <c r="A118" s="91">
        <v>26</v>
      </c>
      <c r="B118" s="91"/>
      <c r="C118" s="91"/>
      <c r="D118" s="91" t="s">
        <v>108</v>
      </c>
      <c r="E118" s="305"/>
      <c r="F118" s="312"/>
      <c r="G118" s="307"/>
      <c r="H118" s="312"/>
      <c r="I118" s="310"/>
      <c r="J118" s="311"/>
      <c r="K118" s="310"/>
      <c r="L118" s="311"/>
      <c r="M118" s="310"/>
      <c r="N118" s="312"/>
      <c r="O118" s="307"/>
      <c r="P118" s="312"/>
      <c r="Q118" s="307"/>
      <c r="R118" s="311"/>
      <c r="S118" s="307"/>
      <c r="T118" s="312"/>
      <c r="U118" s="307"/>
      <c r="V118" s="312"/>
      <c r="W118" s="307"/>
      <c r="X118" s="312"/>
      <c r="Y118" s="304">
        <f t="shared" si="1"/>
        <v>0</v>
      </c>
    </row>
    <row r="119" spans="1:25" ht="19" x14ac:dyDescent="0.25">
      <c r="A119" s="91">
        <v>27</v>
      </c>
      <c r="B119" s="91"/>
      <c r="C119" s="91"/>
      <c r="D119" s="91" t="s">
        <v>69</v>
      </c>
      <c r="E119" s="305"/>
      <c r="F119" s="312"/>
      <c r="G119" s="307"/>
      <c r="H119" s="312"/>
      <c r="I119" s="310"/>
      <c r="J119" s="311"/>
      <c r="K119" s="310"/>
      <c r="L119" s="311"/>
      <c r="M119" s="310"/>
      <c r="N119" s="312"/>
      <c r="O119" s="307"/>
      <c r="P119" s="312"/>
      <c r="Q119" s="307"/>
      <c r="R119" s="311"/>
      <c r="S119" s="307"/>
      <c r="T119" s="312"/>
      <c r="U119" s="307"/>
      <c r="V119" s="312"/>
      <c r="W119" s="307"/>
      <c r="X119" s="312"/>
      <c r="Y119" s="304">
        <f t="shared" si="1"/>
        <v>0</v>
      </c>
    </row>
    <row r="120" spans="1:25" ht="19" x14ac:dyDescent="0.25">
      <c r="A120" s="91">
        <v>28</v>
      </c>
      <c r="B120" s="91"/>
      <c r="C120" s="91"/>
      <c r="D120" s="91" t="s">
        <v>109</v>
      </c>
      <c r="E120" s="305"/>
      <c r="F120" s="312"/>
      <c r="G120" s="307"/>
      <c r="H120" s="312"/>
      <c r="I120" s="310"/>
      <c r="J120" s="311"/>
      <c r="K120" s="310"/>
      <c r="L120" s="311"/>
      <c r="M120" s="310"/>
      <c r="N120" s="312"/>
      <c r="O120" s="307"/>
      <c r="P120" s="312"/>
      <c r="Q120" s="307"/>
      <c r="R120" s="311"/>
      <c r="S120" s="307"/>
      <c r="T120" s="312"/>
      <c r="U120" s="307"/>
      <c r="V120" s="312"/>
      <c r="W120" s="307"/>
      <c r="X120" s="312"/>
      <c r="Y120" s="304">
        <f t="shared" si="1"/>
        <v>0</v>
      </c>
    </row>
    <row r="121" spans="1:25" ht="19" x14ac:dyDescent="0.25">
      <c r="A121" s="91">
        <v>29</v>
      </c>
      <c r="B121" s="91"/>
      <c r="C121" s="91"/>
      <c r="D121" s="91" t="s">
        <v>110</v>
      </c>
      <c r="E121" s="305"/>
      <c r="F121" s="312"/>
      <c r="G121" s="307"/>
      <c r="H121" s="312"/>
      <c r="I121" s="310"/>
      <c r="J121" s="311"/>
      <c r="K121" s="310"/>
      <c r="L121" s="311"/>
      <c r="M121" s="310"/>
      <c r="N121" s="312"/>
      <c r="O121" s="307"/>
      <c r="P121" s="312"/>
      <c r="Q121" s="307"/>
      <c r="R121" s="311"/>
      <c r="S121" s="307"/>
      <c r="T121" s="312"/>
      <c r="U121" s="307"/>
      <c r="V121" s="312"/>
      <c r="W121" s="307"/>
      <c r="X121" s="312"/>
      <c r="Y121" s="304">
        <f t="shared" si="1"/>
        <v>0</v>
      </c>
    </row>
    <row r="122" spans="1:25" ht="19" x14ac:dyDescent="0.25">
      <c r="A122" s="91">
        <v>30</v>
      </c>
      <c r="B122" s="91"/>
      <c r="C122" s="91"/>
      <c r="D122" s="91" t="s">
        <v>111</v>
      </c>
      <c r="E122" s="305"/>
      <c r="F122" s="312"/>
      <c r="G122" s="307"/>
      <c r="H122" s="312"/>
      <c r="I122" s="310"/>
      <c r="J122" s="311"/>
      <c r="K122" s="310"/>
      <c r="L122" s="311"/>
      <c r="M122" s="310"/>
      <c r="N122" s="312"/>
      <c r="O122" s="307"/>
      <c r="P122" s="312"/>
      <c r="Q122" s="307"/>
      <c r="R122" s="311"/>
      <c r="S122" s="307"/>
      <c r="T122" s="312"/>
      <c r="U122" s="307"/>
      <c r="V122" s="312"/>
      <c r="W122" s="307"/>
      <c r="X122" s="312"/>
      <c r="Y122" s="304">
        <f t="shared" si="1"/>
        <v>0</v>
      </c>
    </row>
    <row r="123" spans="1:25" ht="19" x14ac:dyDescent="0.25">
      <c r="A123" s="91">
        <v>31</v>
      </c>
      <c r="B123" s="91"/>
      <c r="C123" s="91"/>
      <c r="D123" s="90" t="s">
        <v>112</v>
      </c>
      <c r="E123" s="305"/>
      <c r="F123" s="312"/>
      <c r="G123" s="307"/>
      <c r="H123" s="312"/>
      <c r="I123" s="310"/>
      <c r="J123" s="311"/>
      <c r="K123" s="310"/>
      <c r="L123" s="311"/>
      <c r="M123" s="310"/>
      <c r="N123" s="312"/>
      <c r="O123" s="307"/>
      <c r="P123" s="312"/>
      <c r="Q123" s="307"/>
      <c r="R123" s="311"/>
      <c r="S123" s="307"/>
      <c r="T123" s="312"/>
      <c r="U123" s="307"/>
      <c r="V123" s="312"/>
      <c r="W123" s="307"/>
      <c r="X123" s="312"/>
      <c r="Y123" s="304">
        <f t="shared" si="1"/>
        <v>0</v>
      </c>
    </row>
    <row r="124" spans="1:25" ht="19" x14ac:dyDescent="0.25">
      <c r="A124" s="91">
        <v>32</v>
      </c>
      <c r="B124" s="91"/>
      <c r="C124" s="91"/>
      <c r="D124" s="91" t="s">
        <v>113</v>
      </c>
      <c r="E124" s="305"/>
      <c r="F124" s="312"/>
      <c r="G124" s="307"/>
      <c r="H124" s="312"/>
      <c r="I124" s="310"/>
      <c r="J124" s="311"/>
      <c r="K124" s="310"/>
      <c r="L124" s="311"/>
      <c r="M124" s="310"/>
      <c r="N124" s="312"/>
      <c r="O124" s="307"/>
      <c r="P124" s="312"/>
      <c r="Q124" s="307"/>
      <c r="R124" s="311"/>
      <c r="S124" s="307"/>
      <c r="T124" s="312"/>
      <c r="U124" s="307"/>
      <c r="V124" s="312"/>
      <c r="W124" s="307"/>
      <c r="X124" s="312"/>
      <c r="Y124" s="304">
        <f t="shared" si="1"/>
        <v>0</v>
      </c>
    </row>
    <row r="125" spans="1:25" ht="19" x14ac:dyDescent="0.25">
      <c r="A125" s="91">
        <v>33</v>
      </c>
      <c r="B125" s="91"/>
      <c r="C125" s="91"/>
      <c r="D125" s="91" t="s">
        <v>114</v>
      </c>
      <c r="E125" s="305"/>
      <c r="F125" s="312"/>
      <c r="G125" s="307"/>
      <c r="H125" s="312"/>
      <c r="I125" s="310"/>
      <c r="J125" s="311"/>
      <c r="K125" s="310"/>
      <c r="L125" s="311"/>
      <c r="M125" s="310"/>
      <c r="N125" s="312"/>
      <c r="O125" s="307"/>
      <c r="P125" s="312"/>
      <c r="Q125" s="307"/>
      <c r="R125" s="311"/>
      <c r="S125" s="307"/>
      <c r="T125" s="312"/>
      <c r="U125" s="307"/>
      <c r="V125" s="312"/>
      <c r="W125" s="307"/>
      <c r="X125" s="312"/>
      <c r="Y125" s="304">
        <f t="shared" si="1"/>
        <v>0</v>
      </c>
    </row>
    <row r="126" spans="1:25" ht="19" x14ac:dyDescent="0.25">
      <c r="A126" s="91">
        <v>34</v>
      </c>
      <c r="B126" s="91"/>
      <c r="C126" s="91"/>
      <c r="D126" s="91" t="s">
        <v>115</v>
      </c>
      <c r="E126" s="305"/>
      <c r="F126" s="312"/>
      <c r="G126" s="307"/>
      <c r="H126" s="312"/>
      <c r="I126" s="310"/>
      <c r="J126" s="311"/>
      <c r="K126" s="310"/>
      <c r="L126" s="311"/>
      <c r="M126" s="310"/>
      <c r="N126" s="312"/>
      <c r="O126" s="307"/>
      <c r="P126" s="312"/>
      <c r="Q126" s="307"/>
      <c r="R126" s="311"/>
      <c r="S126" s="307"/>
      <c r="T126" s="312"/>
      <c r="U126" s="307"/>
      <c r="V126" s="312"/>
      <c r="W126" s="307"/>
      <c r="X126" s="312"/>
      <c r="Y126" s="304">
        <f t="shared" si="1"/>
        <v>0</v>
      </c>
    </row>
    <row r="127" spans="1:25" ht="19" x14ac:dyDescent="0.25">
      <c r="A127" s="91">
        <v>35</v>
      </c>
      <c r="B127" s="91"/>
      <c r="C127" s="91"/>
      <c r="D127" s="91" t="s">
        <v>116</v>
      </c>
      <c r="E127" s="305"/>
      <c r="F127" s="312"/>
      <c r="G127" s="307"/>
      <c r="H127" s="312"/>
      <c r="I127" s="310"/>
      <c r="J127" s="311"/>
      <c r="K127" s="310"/>
      <c r="L127" s="311"/>
      <c r="M127" s="310"/>
      <c r="N127" s="312"/>
      <c r="O127" s="307"/>
      <c r="P127" s="312"/>
      <c r="Q127" s="307"/>
      <c r="R127" s="311"/>
      <c r="S127" s="307"/>
      <c r="T127" s="312"/>
      <c r="U127" s="307"/>
      <c r="V127" s="312"/>
      <c r="W127" s="307"/>
      <c r="X127" s="312"/>
      <c r="Y127" s="304">
        <f t="shared" si="1"/>
        <v>0</v>
      </c>
    </row>
    <row r="128" spans="1:25" ht="19" x14ac:dyDescent="0.25">
      <c r="A128" s="91">
        <v>36</v>
      </c>
      <c r="B128" s="91"/>
      <c r="C128" s="91"/>
      <c r="D128" s="91" t="s">
        <v>117</v>
      </c>
      <c r="E128" s="305"/>
      <c r="F128" s="312"/>
      <c r="G128" s="307"/>
      <c r="H128" s="312"/>
      <c r="I128" s="310"/>
      <c r="J128" s="311"/>
      <c r="K128" s="310"/>
      <c r="L128" s="311"/>
      <c r="M128" s="310"/>
      <c r="N128" s="312"/>
      <c r="O128" s="307"/>
      <c r="P128" s="312"/>
      <c r="Q128" s="307"/>
      <c r="R128" s="311"/>
      <c r="S128" s="307"/>
      <c r="T128" s="312"/>
      <c r="U128" s="307"/>
      <c r="V128" s="312"/>
      <c r="W128" s="307"/>
      <c r="X128" s="312"/>
      <c r="Y128" s="304">
        <f t="shared" si="1"/>
        <v>0</v>
      </c>
    </row>
    <row r="129" spans="1:25" ht="19" x14ac:dyDescent="0.25">
      <c r="A129" s="91">
        <v>37</v>
      </c>
      <c r="B129" s="91"/>
      <c r="C129" s="91"/>
      <c r="D129" s="91" t="s">
        <v>118</v>
      </c>
      <c r="E129" s="305"/>
      <c r="F129" s="312"/>
      <c r="G129" s="307"/>
      <c r="H129" s="312"/>
      <c r="I129" s="310"/>
      <c r="J129" s="311"/>
      <c r="K129" s="310"/>
      <c r="L129" s="311"/>
      <c r="M129" s="310"/>
      <c r="N129" s="312"/>
      <c r="O129" s="307"/>
      <c r="P129" s="312"/>
      <c r="Q129" s="307"/>
      <c r="R129" s="311"/>
      <c r="S129" s="307"/>
      <c r="T129" s="312"/>
      <c r="U129" s="307"/>
      <c r="V129" s="312"/>
      <c r="W129" s="307"/>
      <c r="X129" s="312"/>
      <c r="Y129" s="304">
        <f t="shared" si="1"/>
        <v>0</v>
      </c>
    </row>
    <row r="130" spans="1:25" ht="19" x14ac:dyDescent="0.25">
      <c r="A130" s="91">
        <v>38</v>
      </c>
      <c r="B130" s="91"/>
      <c r="C130" s="91"/>
      <c r="D130" s="91" t="s">
        <v>249</v>
      </c>
      <c r="E130" s="305"/>
      <c r="F130" s="312"/>
      <c r="G130" s="307"/>
      <c r="H130" s="312"/>
      <c r="I130" s="310"/>
      <c r="J130" s="311"/>
      <c r="K130" s="310"/>
      <c r="L130" s="311"/>
      <c r="M130" s="310"/>
      <c r="N130" s="312"/>
      <c r="O130" s="307"/>
      <c r="P130" s="312"/>
      <c r="Q130" s="307"/>
      <c r="R130" s="311"/>
      <c r="S130" s="307"/>
      <c r="T130" s="312"/>
      <c r="U130" s="307"/>
      <c r="V130" s="312"/>
      <c r="W130" s="307"/>
      <c r="X130" s="312"/>
      <c r="Y130" s="304">
        <f t="shared" si="1"/>
        <v>0</v>
      </c>
    </row>
    <row r="131" spans="1:25" ht="19" x14ac:dyDescent="0.25">
      <c r="A131" s="91"/>
      <c r="B131" s="91"/>
      <c r="C131" s="91"/>
      <c r="D131" s="91"/>
      <c r="E131" s="305"/>
      <c r="F131" s="312"/>
      <c r="G131" s="307"/>
      <c r="H131" s="312"/>
      <c r="I131" s="310"/>
      <c r="J131" s="311"/>
      <c r="K131" s="310"/>
      <c r="L131" s="311"/>
      <c r="M131" s="310"/>
      <c r="N131" s="312"/>
      <c r="O131" s="307"/>
      <c r="P131" s="312"/>
      <c r="Q131" s="307"/>
      <c r="R131" s="311"/>
      <c r="S131" s="307"/>
      <c r="T131" s="312"/>
      <c r="U131" s="307"/>
      <c r="V131" s="312"/>
      <c r="W131" s="307"/>
      <c r="X131" s="312"/>
      <c r="Y131" s="304">
        <f t="shared" si="1"/>
        <v>0</v>
      </c>
    </row>
    <row r="132" spans="1:25" ht="19" x14ac:dyDescent="0.25">
      <c r="A132" s="299"/>
      <c r="B132" s="299" t="s">
        <v>243</v>
      </c>
      <c r="C132" s="299"/>
      <c r="D132" s="299" t="s">
        <v>120</v>
      </c>
      <c r="E132" s="305"/>
      <c r="F132" s="312"/>
      <c r="G132" s="307"/>
      <c r="H132" s="312"/>
      <c r="I132" s="310"/>
      <c r="J132" s="311"/>
      <c r="K132" s="310"/>
      <c r="L132" s="311"/>
      <c r="M132" s="310"/>
      <c r="N132" s="312"/>
      <c r="O132" s="307"/>
      <c r="P132" s="312"/>
      <c r="Q132" s="307"/>
      <c r="R132" s="311"/>
      <c r="S132" s="307"/>
      <c r="T132" s="312"/>
      <c r="U132" s="307"/>
      <c r="V132" s="312"/>
      <c r="W132" s="307"/>
      <c r="X132" s="312"/>
      <c r="Y132" s="304">
        <f t="shared" si="1"/>
        <v>0</v>
      </c>
    </row>
    <row r="133" spans="1:25" ht="19" x14ac:dyDescent="0.25">
      <c r="A133" s="335">
        <v>1</v>
      </c>
      <c r="B133" s="335"/>
      <c r="C133" s="335"/>
      <c r="D133" s="93" t="s">
        <v>121</v>
      </c>
      <c r="E133" s="305"/>
      <c r="F133" s="312"/>
      <c r="G133" s="307"/>
      <c r="H133" s="312"/>
      <c r="I133" s="310"/>
      <c r="J133" s="311"/>
      <c r="K133" s="310"/>
      <c r="L133" s="311"/>
      <c r="M133" s="310"/>
      <c r="N133" s="312"/>
      <c r="O133" s="307"/>
      <c r="P133" s="312"/>
      <c r="Q133" s="307"/>
      <c r="R133" s="311"/>
      <c r="S133" s="307"/>
      <c r="T133" s="312"/>
      <c r="U133" s="307"/>
      <c r="V133" s="312"/>
      <c r="W133" s="307"/>
      <c r="X133" s="312"/>
      <c r="Y133" s="304">
        <f t="shared" si="1"/>
        <v>0</v>
      </c>
    </row>
    <row r="134" spans="1:25" ht="19" x14ac:dyDescent="0.25">
      <c r="A134" s="335">
        <v>2</v>
      </c>
      <c r="B134" s="335"/>
      <c r="C134" s="335"/>
      <c r="D134" s="93" t="s">
        <v>123</v>
      </c>
      <c r="E134" s="305"/>
      <c r="F134" s="306"/>
      <c r="G134" s="307"/>
      <c r="H134" s="306"/>
      <c r="I134" s="310"/>
      <c r="J134" s="309"/>
      <c r="K134" s="310"/>
      <c r="L134" s="336"/>
      <c r="M134" s="310"/>
      <c r="N134" s="312"/>
      <c r="O134" s="307"/>
      <c r="P134" s="306"/>
      <c r="Q134" s="307"/>
      <c r="R134" s="311"/>
      <c r="S134" s="307"/>
      <c r="T134" s="312"/>
      <c r="U134" s="307"/>
      <c r="V134" s="312"/>
      <c r="W134" s="307"/>
      <c r="X134" s="312"/>
      <c r="Y134" s="304">
        <f t="shared" si="1"/>
        <v>0</v>
      </c>
    </row>
    <row r="135" spans="1:25" ht="19" x14ac:dyDescent="0.25">
      <c r="A135" s="365"/>
      <c r="B135" s="365"/>
      <c r="C135" s="365"/>
      <c r="D135" s="365"/>
      <c r="E135" s="305"/>
      <c r="F135" s="312"/>
      <c r="G135" s="307"/>
      <c r="H135" s="312"/>
      <c r="I135" s="310"/>
      <c r="J135" s="311"/>
      <c r="K135" s="310"/>
      <c r="L135" s="311"/>
      <c r="M135" s="310"/>
      <c r="N135" s="312"/>
      <c r="O135" s="307"/>
      <c r="P135" s="312"/>
      <c r="Q135" s="307"/>
      <c r="R135" s="311"/>
      <c r="S135" s="307"/>
      <c r="T135" s="312"/>
      <c r="U135" s="307"/>
      <c r="V135" s="312"/>
      <c r="W135" s="307"/>
      <c r="X135" s="312"/>
      <c r="Y135" s="304">
        <f t="shared" si="1"/>
        <v>0</v>
      </c>
    </row>
    <row r="136" spans="1:25" ht="19" x14ac:dyDescent="0.25">
      <c r="A136" s="299"/>
      <c r="B136" s="299" t="s">
        <v>243</v>
      </c>
      <c r="C136" s="299" t="s">
        <v>124</v>
      </c>
      <c r="D136" s="299" t="s">
        <v>246</v>
      </c>
      <c r="E136" s="305"/>
      <c r="F136" s="312"/>
      <c r="G136" s="307"/>
      <c r="H136" s="312"/>
      <c r="I136" s="310"/>
      <c r="J136" s="311"/>
      <c r="K136" s="310"/>
      <c r="L136" s="311"/>
      <c r="M136" s="310"/>
      <c r="N136" s="312"/>
      <c r="O136" s="307"/>
      <c r="P136" s="312"/>
      <c r="Q136" s="307"/>
      <c r="R136" s="311"/>
      <c r="S136" s="307"/>
      <c r="T136" s="312"/>
      <c r="U136" s="307"/>
      <c r="V136" s="312"/>
      <c r="W136" s="307"/>
      <c r="X136" s="312"/>
      <c r="Y136" s="304">
        <f t="shared" si="1"/>
        <v>0</v>
      </c>
    </row>
    <row r="137" spans="1:25" ht="19" x14ac:dyDescent="0.25">
      <c r="A137" s="337">
        <v>1</v>
      </c>
      <c r="B137" s="337"/>
      <c r="C137" s="337"/>
      <c r="D137" s="94" t="s">
        <v>125</v>
      </c>
      <c r="E137" s="305"/>
      <c r="F137" s="306"/>
      <c r="G137" s="307"/>
      <c r="H137" s="306"/>
      <c r="I137" s="310"/>
      <c r="J137" s="309"/>
      <c r="K137" s="310"/>
      <c r="L137" s="311"/>
      <c r="M137" s="310"/>
      <c r="N137" s="312"/>
      <c r="O137" s="307"/>
      <c r="P137" s="306"/>
      <c r="Q137" s="307"/>
      <c r="R137" s="311"/>
      <c r="S137" s="307"/>
      <c r="T137" s="312"/>
      <c r="U137" s="307"/>
      <c r="V137" s="312"/>
      <c r="W137" s="307"/>
      <c r="X137" s="312"/>
      <c r="Y137" s="304">
        <f t="shared" si="1"/>
        <v>0</v>
      </c>
    </row>
    <row r="138" spans="1:25" ht="19" x14ac:dyDescent="0.25">
      <c r="A138" s="337">
        <v>2</v>
      </c>
      <c r="B138" s="337"/>
      <c r="C138" s="337"/>
      <c r="D138" s="94" t="s">
        <v>126</v>
      </c>
      <c r="E138" s="305"/>
      <c r="F138" s="312"/>
      <c r="G138" s="307"/>
      <c r="H138" s="312"/>
      <c r="I138" s="310"/>
      <c r="J138" s="311"/>
      <c r="K138" s="310"/>
      <c r="L138" s="311"/>
      <c r="M138" s="310"/>
      <c r="N138" s="312"/>
      <c r="O138" s="307"/>
      <c r="P138" s="312"/>
      <c r="Q138" s="307"/>
      <c r="R138" s="311"/>
      <c r="S138" s="307"/>
      <c r="T138" s="312"/>
      <c r="U138" s="307"/>
      <c r="V138" s="312"/>
      <c r="W138" s="307"/>
      <c r="X138" s="312"/>
      <c r="Y138" s="304">
        <f t="shared" si="1"/>
        <v>0</v>
      </c>
    </row>
    <row r="139" spans="1:25" ht="19" x14ac:dyDescent="0.25">
      <c r="A139" s="337">
        <v>3</v>
      </c>
      <c r="B139" s="337"/>
      <c r="C139" s="337"/>
      <c r="D139" s="94" t="s">
        <v>127</v>
      </c>
      <c r="E139" s="305"/>
      <c r="F139" s="306">
        <v>1</v>
      </c>
      <c r="G139" s="307"/>
      <c r="H139" s="306"/>
      <c r="I139" s="310"/>
      <c r="J139" s="309"/>
      <c r="K139" s="310"/>
      <c r="L139" s="311"/>
      <c r="M139" s="310"/>
      <c r="N139" s="312"/>
      <c r="O139" s="307"/>
      <c r="P139" s="306"/>
      <c r="Q139" s="307"/>
      <c r="R139" s="311"/>
      <c r="S139" s="307"/>
      <c r="T139" s="312"/>
      <c r="U139" s="307"/>
      <c r="V139" s="312"/>
      <c r="W139" s="307"/>
      <c r="X139" s="312"/>
      <c r="Y139" s="304">
        <f t="shared" si="1"/>
        <v>1</v>
      </c>
    </row>
    <row r="140" spans="1:25" ht="19" x14ac:dyDescent="0.25">
      <c r="A140" s="337">
        <v>4</v>
      </c>
      <c r="B140" s="337"/>
      <c r="C140" s="337"/>
      <c r="D140" s="94" t="s">
        <v>128</v>
      </c>
      <c r="E140" s="305"/>
      <c r="F140" s="306">
        <v>1</v>
      </c>
      <c r="G140" s="307"/>
      <c r="H140" s="306"/>
      <c r="I140" s="310"/>
      <c r="J140" s="309"/>
      <c r="K140" s="310"/>
      <c r="L140" s="311"/>
      <c r="M140" s="310"/>
      <c r="N140" s="312"/>
      <c r="O140" s="307"/>
      <c r="P140" s="306"/>
      <c r="Q140" s="307"/>
      <c r="R140" s="311"/>
      <c r="S140" s="307"/>
      <c r="T140" s="312"/>
      <c r="U140" s="307"/>
      <c r="V140" s="312"/>
      <c r="W140" s="307"/>
      <c r="X140" s="312"/>
      <c r="Y140" s="304">
        <f t="shared" ref="Y140:Y203" si="2">SUM(E140:X140)</f>
        <v>1</v>
      </c>
    </row>
    <row r="141" spans="1:25" ht="19" x14ac:dyDescent="0.25">
      <c r="A141" s="337">
        <v>5</v>
      </c>
      <c r="B141" s="337"/>
      <c r="C141" s="337"/>
      <c r="D141" s="94" t="s">
        <v>129</v>
      </c>
      <c r="E141" s="305">
        <v>1</v>
      </c>
      <c r="F141" s="312"/>
      <c r="G141" s="307"/>
      <c r="H141" s="312"/>
      <c r="I141" s="310"/>
      <c r="J141" s="311"/>
      <c r="K141" s="310"/>
      <c r="L141" s="311"/>
      <c r="M141" s="310"/>
      <c r="N141" s="312"/>
      <c r="O141" s="307"/>
      <c r="P141" s="312"/>
      <c r="Q141" s="307"/>
      <c r="R141" s="311"/>
      <c r="S141" s="307"/>
      <c r="T141" s="312"/>
      <c r="U141" s="307"/>
      <c r="V141" s="312"/>
      <c r="W141" s="307"/>
      <c r="X141" s="312"/>
      <c r="Y141" s="304">
        <f t="shared" si="2"/>
        <v>1</v>
      </c>
    </row>
    <row r="142" spans="1:25" ht="19" x14ac:dyDescent="0.25">
      <c r="A142" s="337">
        <v>6</v>
      </c>
      <c r="B142" s="337"/>
      <c r="C142" s="337"/>
      <c r="D142" s="94" t="s">
        <v>130</v>
      </c>
      <c r="E142" s="305"/>
      <c r="F142" s="306"/>
      <c r="G142" s="307"/>
      <c r="H142" s="306"/>
      <c r="I142" s="310"/>
      <c r="J142" s="309"/>
      <c r="K142" s="310"/>
      <c r="L142" s="311"/>
      <c r="M142" s="310"/>
      <c r="N142" s="312"/>
      <c r="O142" s="307"/>
      <c r="P142" s="306"/>
      <c r="Q142" s="307"/>
      <c r="R142" s="311"/>
      <c r="S142" s="307"/>
      <c r="T142" s="312"/>
      <c r="U142" s="307"/>
      <c r="V142" s="312"/>
      <c r="W142" s="307"/>
      <c r="X142" s="312"/>
      <c r="Y142" s="304">
        <f t="shared" si="2"/>
        <v>0</v>
      </c>
    </row>
    <row r="143" spans="1:25" ht="19" x14ac:dyDescent="0.25">
      <c r="A143" s="337">
        <v>7</v>
      </c>
      <c r="B143" s="337"/>
      <c r="C143" s="337"/>
      <c r="D143" s="94" t="s">
        <v>131</v>
      </c>
      <c r="E143" s="305"/>
      <c r="F143" s="306"/>
      <c r="G143" s="307"/>
      <c r="H143" s="306"/>
      <c r="I143" s="310"/>
      <c r="J143" s="309"/>
      <c r="K143" s="310"/>
      <c r="L143" s="311"/>
      <c r="M143" s="310"/>
      <c r="N143" s="312"/>
      <c r="O143" s="307"/>
      <c r="P143" s="306"/>
      <c r="Q143" s="307"/>
      <c r="R143" s="311"/>
      <c r="S143" s="307"/>
      <c r="T143" s="312"/>
      <c r="U143" s="307"/>
      <c r="V143" s="312"/>
      <c r="W143" s="307"/>
      <c r="X143" s="312"/>
      <c r="Y143" s="304">
        <f t="shared" si="2"/>
        <v>0</v>
      </c>
    </row>
    <row r="144" spans="1:25" ht="19" x14ac:dyDescent="0.25">
      <c r="A144" s="337">
        <v>8</v>
      </c>
      <c r="B144" s="337"/>
      <c r="C144" s="337"/>
      <c r="D144" s="94" t="s">
        <v>132</v>
      </c>
      <c r="E144" s="305"/>
      <c r="F144" s="306"/>
      <c r="G144" s="307"/>
      <c r="H144" s="306"/>
      <c r="I144" s="308"/>
      <c r="J144" s="309"/>
      <c r="K144" s="310"/>
      <c r="L144" s="311"/>
      <c r="M144" s="310"/>
      <c r="N144" s="312"/>
      <c r="O144" s="307"/>
      <c r="P144" s="306"/>
      <c r="Q144" s="307"/>
      <c r="R144" s="311"/>
      <c r="S144" s="307"/>
      <c r="T144" s="312"/>
      <c r="U144" s="307"/>
      <c r="V144" s="312"/>
      <c r="W144" s="307"/>
      <c r="X144" s="312"/>
      <c r="Y144" s="304">
        <f t="shared" si="2"/>
        <v>0</v>
      </c>
    </row>
    <row r="145" spans="1:25" ht="19" x14ac:dyDescent="0.25">
      <c r="A145" s="337">
        <v>9</v>
      </c>
      <c r="B145" s="337"/>
      <c r="C145" s="337"/>
      <c r="D145" s="94" t="s">
        <v>133</v>
      </c>
      <c r="E145" s="305"/>
      <c r="F145" s="306">
        <v>1</v>
      </c>
      <c r="G145" s="307"/>
      <c r="H145" s="306"/>
      <c r="I145" s="310"/>
      <c r="J145" s="309"/>
      <c r="K145" s="310"/>
      <c r="L145" s="311"/>
      <c r="M145" s="310"/>
      <c r="N145" s="312"/>
      <c r="O145" s="307"/>
      <c r="P145" s="306"/>
      <c r="Q145" s="307"/>
      <c r="R145" s="311"/>
      <c r="S145" s="307"/>
      <c r="T145" s="312"/>
      <c r="U145" s="307"/>
      <c r="V145" s="312"/>
      <c r="W145" s="307"/>
      <c r="X145" s="312"/>
      <c r="Y145" s="304">
        <f t="shared" si="2"/>
        <v>1</v>
      </c>
    </row>
    <row r="146" spans="1:25" ht="19" x14ac:dyDescent="0.25">
      <c r="A146" s="337">
        <v>10</v>
      </c>
      <c r="B146" s="337"/>
      <c r="C146" s="337"/>
      <c r="D146" s="94" t="s">
        <v>134</v>
      </c>
      <c r="E146" s="305"/>
      <c r="F146" s="312"/>
      <c r="G146" s="307"/>
      <c r="H146" s="312"/>
      <c r="I146" s="310"/>
      <c r="J146" s="311"/>
      <c r="K146" s="310"/>
      <c r="L146" s="311"/>
      <c r="M146" s="310"/>
      <c r="N146" s="312"/>
      <c r="O146" s="307"/>
      <c r="P146" s="312"/>
      <c r="Q146" s="307"/>
      <c r="R146" s="311"/>
      <c r="S146" s="307"/>
      <c r="T146" s="312"/>
      <c r="U146" s="307"/>
      <c r="V146" s="312"/>
      <c r="W146" s="307"/>
      <c r="X146" s="312"/>
      <c r="Y146" s="304">
        <f t="shared" si="2"/>
        <v>0</v>
      </c>
    </row>
    <row r="147" spans="1:25" ht="19" x14ac:dyDescent="0.25">
      <c r="A147" s="337">
        <v>11</v>
      </c>
      <c r="B147" s="337"/>
      <c r="C147" s="337"/>
      <c r="D147" s="94" t="s">
        <v>135</v>
      </c>
      <c r="E147" s="305"/>
      <c r="F147" s="312">
        <v>1</v>
      </c>
      <c r="G147" s="307"/>
      <c r="H147" s="312"/>
      <c r="I147" s="310"/>
      <c r="J147" s="311"/>
      <c r="K147" s="310"/>
      <c r="L147" s="311"/>
      <c r="M147" s="310"/>
      <c r="N147" s="312"/>
      <c r="O147" s="307"/>
      <c r="P147" s="312"/>
      <c r="Q147" s="307"/>
      <c r="R147" s="311"/>
      <c r="S147" s="307"/>
      <c r="T147" s="312"/>
      <c r="U147" s="307"/>
      <c r="V147" s="312"/>
      <c r="W147" s="307"/>
      <c r="X147" s="312"/>
      <c r="Y147" s="304">
        <f t="shared" si="2"/>
        <v>1</v>
      </c>
    </row>
    <row r="148" spans="1:25" ht="19" x14ac:dyDescent="0.25">
      <c r="A148" s="337">
        <v>12</v>
      </c>
      <c r="B148" s="337"/>
      <c r="C148" s="337"/>
      <c r="D148" s="94" t="s">
        <v>136</v>
      </c>
      <c r="E148" s="305"/>
      <c r="F148" s="306"/>
      <c r="G148" s="307"/>
      <c r="H148" s="306"/>
      <c r="I148" s="310"/>
      <c r="J148" s="309"/>
      <c r="K148" s="310"/>
      <c r="L148" s="311"/>
      <c r="M148" s="310"/>
      <c r="N148" s="312"/>
      <c r="O148" s="307"/>
      <c r="P148" s="306"/>
      <c r="Q148" s="307"/>
      <c r="R148" s="311"/>
      <c r="S148" s="307"/>
      <c r="T148" s="312"/>
      <c r="U148" s="307"/>
      <c r="V148" s="312"/>
      <c r="W148" s="307"/>
      <c r="X148" s="312"/>
      <c r="Y148" s="304">
        <f t="shared" si="2"/>
        <v>0</v>
      </c>
    </row>
    <row r="149" spans="1:25" ht="19" x14ac:dyDescent="0.25">
      <c r="A149" s="337">
        <v>13</v>
      </c>
      <c r="B149" s="337"/>
      <c r="C149" s="337"/>
      <c r="D149" s="94" t="s">
        <v>137</v>
      </c>
      <c r="E149" s="305"/>
      <c r="F149" s="312"/>
      <c r="G149" s="307"/>
      <c r="H149" s="312"/>
      <c r="I149" s="310"/>
      <c r="J149" s="311"/>
      <c r="K149" s="310"/>
      <c r="L149" s="311"/>
      <c r="M149" s="310"/>
      <c r="N149" s="312"/>
      <c r="O149" s="307"/>
      <c r="P149" s="312"/>
      <c r="Q149" s="307"/>
      <c r="R149" s="311"/>
      <c r="S149" s="307"/>
      <c r="T149" s="312"/>
      <c r="U149" s="307"/>
      <c r="V149" s="312"/>
      <c r="W149" s="307"/>
      <c r="X149" s="312"/>
      <c r="Y149" s="304">
        <f t="shared" si="2"/>
        <v>0</v>
      </c>
    </row>
    <row r="150" spans="1:25" ht="19" x14ac:dyDescent="0.25">
      <c r="A150" s="337">
        <v>14</v>
      </c>
      <c r="B150" s="337"/>
      <c r="C150" s="337"/>
      <c r="D150" s="94" t="s">
        <v>138</v>
      </c>
      <c r="E150" s="305"/>
      <c r="F150" s="312"/>
      <c r="G150" s="307"/>
      <c r="H150" s="312"/>
      <c r="I150" s="310"/>
      <c r="J150" s="311"/>
      <c r="K150" s="310"/>
      <c r="L150" s="311"/>
      <c r="M150" s="310"/>
      <c r="N150" s="312"/>
      <c r="O150" s="307"/>
      <c r="P150" s="312"/>
      <c r="Q150" s="307"/>
      <c r="R150" s="311"/>
      <c r="S150" s="307"/>
      <c r="T150" s="312"/>
      <c r="U150" s="307"/>
      <c r="V150" s="312"/>
      <c r="W150" s="307"/>
      <c r="X150" s="312"/>
      <c r="Y150" s="304">
        <f t="shared" si="2"/>
        <v>0</v>
      </c>
    </row>
    <row r="151" spans="1:25" ht="19" x14ac:dyDescent="0.25">
      <c r="A151" s="337">
        <v>15</v>
      </c>
      <c r="B151" s="337"/>
      <c r="C151" s="337"/>
      <c r="D151" s="94" t="s">
        <v>139</v>
      </c>
      <c r="E151" s="305"/>
      <c r="F151" s="312"/>
      <c r="G151" s="307"/>
      <c r="H151" s="312"/>
      <c r="I151" s="310"/>
      <c r="J151" s="311"/>
      <c r="K151" s="310"/>
      <c r="L151" s="311"/>
      <c r="M151" s="310"/>
      <c r="N151" s="312"/>
      <c r="O151" s="307"/>
      <c r="P151" s="312"/>
      <c r="Q151" s="307"/>
      <c r="R151" s="311"/>
      <c r="S151" s="307"/>
      <c r="T151" s="312"/>
      <c r="U151" s="307"/>
      <c r="V151" s="312"/>
      <c r="W151" s="307"/>
      <c r="X151" s="312"/>
      <c r="Y151" s="304">
        <f t="shared" si="2"/>
        <v>0</v>
      </c>
    </row>
    <row r="152" spans="1:25" ht="19" x14ac:dyDescent="0.25">
      <c r="A152" s="337">
        <v>16</v>
      </c>
      <c r="B152" s="337"/>
      <c r="C152" s="337"/>
      <c r="D152" s="94" t="s">
        <v>140</v>
      </c>
      <c r="E152" s="305"/>
      <c r="F152" s="306"/>
      <c r="G152" s="307"/>
      <c r="H152" s="306"/>
      <c r="I152" s="310"/>
      <c r="J152" s="309"/>
      <c r="K152" s="310"/>
      <c r="L152" s="311"/>
      <c r="M152" s="310"/>
      <c r="N152" s="312"/>
      <c r="O152" s="307"/>
      <c r="P152" s="306"/>
      <c r="Q152" s="307"/>
      <c r="R152" s="311"/>
      <c r="S152" s="307"/>
      <c r="T152" s="312"/>
      <c r="U152" s="307"/>
      <c r="V152" s="312"/>
      <c r="W152" s="307"/>
      <c r="X152" s="312"/>
      <c r="Y152" s="304">
        <f t="shared" si="2"/>
        <v>0</v>
      </c>
    </row>
    <row r="153" spans="1:25" ht="19" x14ac:dyDescent="0.25">
      <c r="A153" s="337">
        <v>17</v>
      </c>
      <c r="B153" s="337"/>
      <c r="C153" s="337"/>
      <c r="D153" s="94" t="s">
        <v>141</v>
      </c>
      <c r="E153" s="305"/>
      <c r="F153" s="312"/>
      <c r="G153" s="307"/>
      <c r="H153" s="312"/>
      <c r="I153" s="310"/>
      <c r="J153" s="311"/>
      <c r="K153" s="310"/>
      <c r="L153" s="311"/>
      <c r="M153" s="310"/>
      <c r="N153" s="312"/>
      <c r="O153" s="307"/>
      <c r="P153" s="312"/>
      <c r="Q153" s="307"/>
      <c r="R153" s="311"/>
      <c r="S153" s="307"/>
      <c r="T153" s="312"/>
      <c r="U153" s="307"/>
      <c r="V153" s="312"/>
      <c r="W153" s="307"/>
      <c r="X153" s="312"/>
      <c r="Y153" s="304">
        <f t="shared" si="2"/>
        <v>0</v>
      </c>
    </row>
    <row r="154" spans="1:25" ht="19" x14ac:dyDescent="0.25">
      <c r="A154" s="337">
        <v>18</v>
      </c>
      <c r="B154" s="337"/>
      <c r="C154" s="337"/>
      <c r="D154" s="94" t="s">
        <v>142</v>
      </c>
      <c r="E154" s="305"/>
      <c r="F154" s="306"/>
      <c r="G154" s="307"/>
      <c r="H154" s="306"/>
      <c r="I154" s="310"/>
      <c r="J154" s="309"/>
      <c r="K154" s="310"/>
      <c r="L154" s="311"/>
      <c r="M154" s="310"/>
      <c r="N154" s="312"/>
      <c r="O154" s="307"/>
      <c r="P154" s="306"/>
      <c r="Q154" s="307"/>
      <c r="R154" s="311"/>
      <c r="S154" s="307"/>
      <c r="T154" s="312"/>
      <c r="U154" s="307"/>
      <c r="V154" s="312"/>
      <c r="W154" s="307"/>
      <c r="X154" s="312"/>
      <c r="Y154" s="304">
        <f t="shared" si="2"/>
        <v>0</v>
      </c>
    </row>
    <row r="155" spans="1:25" ht="19" x14ac:dyDescent="0.25">
      <c r="A155" s="337">
        <v>19</v>
      </c>
      <c r="B155" s="337"/>
      <c r="C155" s="337"/>
      <c r="D155" s="94" t="s">
        <v>143</v>
      </c>
      <c r="E155" s="305"/>
      <c r="F155" s="312"/>
      <c r="G155" s="307"/>
      <c r="H155" s="312"/>
      <c r="I155" s="310"/>
      <c r="J155" s="311"/>
      <c r="K155" s="310"/>
      <c r="L155" s="311"/>
      <c r="M155" s="310"/>
      <c r="N155" s="312"/>
      <c r="O155" s="307"/>
      <c r="P155" s="312"/>
      <c r="Q155" s="307"/>
      <c r="R155" s="311"/>
      <c r="S155" s="307"/>
      <c r="T155" s="312"/>
      <c r="U155" s="307"/>
      <c r="V155" s="312"/>
      <c r="W155" s="307"/>
      <c r="X155" s="312"/>
      <c r="Y155" s="304">
        <f t="shared" si="2"/>
        <v>0</v>
      </c>
    </row>
    <row r="156" spans="1:25" ht="19" x14ac:dyDescent="0.25">
      <c r="A156" s="337">
        <v>20</v>
      </c>
      <c r="B156" s="337"/>
      <c r="C156" s="337"/>
      <c r="D156" s="94" t="s">
        <v>144</v>
      </c>
      <c r="E156" s="305"/>
      <c r="F156" s="312"/>
      <c r="G156" s="307"/>
      <c r="H156" s="312"/>
      <c r="I156" s="310"/>
      <c r="J156" s="311"/>
      <c r="K156" s="310"/>
      <c r="L156" s="311"/>
      <c r="M156" s="310"/>
      <c r="N156" s="312"/>
      <c r="O156" s="307"/>
      <c r="P156" s="312"/>
      <c r="Q156" s="307"/>
      <c r="R156" s="311"/>
      <c r="S156" s="307"/>
      <c r="T156" s="312"/>
      <c r="U156" s="307"/>
      <c r="V156" s="312"/>
      <c r="W156" s="307"/>
      <c r="X156" s="312"/>
      <c r="Y156" s="304">
        <f t="shared" si="2"/>
        <v>0</v>
      </c>
    </row>
    <row r="157" spans="1:25" ht="19" x14ac:dyDescent="0.25">
      <c r="A157" s="337">
        <v>21</v>
      </c>
      <c r="B157" s="337"/>
      <c r="C157" s="337"/>
      <c r="D157" s="94" t="s">
        <v>145</v>
      </c>
      <c r="E157" s="305"/>
      <c r="F157" s="306"/>
      <c r="G157" s="307"/>
      <c r="H157" s="306"/>
      <c r="I157" s="310"/>
      <c r="J157" s="309"/>
      <c r="K157" s="310"/>
      <c r="L157" s="311"/>
      <c r="M157" s="310"/>
      <c r="N157" s="312"/>
      <c r="O157" s="307"/>
      <c r="P157" s="306"/>
      <c r="Q157" s="307"/>
      <c r="R157" s="311"/>
      <c r="S157" s="307"/>
      <c r="T157" s="312"/>
      <c r="U157" s="307"/>
      <c r="V157" s="312"/>
      <c r="W157" s="307"/>
      <c r="X157" s="312"/>
      <c r="Y157" s="304">
        <f t="shared" si="2"/>
        <v>0</v>
      </c>
    </row>
    <row r="158" spans="1:25" ht="19" x14ac:dyDescent="0.25">
      <c r="A158" s="337">
        <v>22</v>
      </c>
      <c r="B158" s="337"/>
      <c r="C158" s="337"/>
      <c r="D158" s="94" t="s">
        <v>146</v>
      </c>
      <c r="E158" s="305"/>
      <c r="F158" s="312"/>
      <c r="G158" s="307"/>
      <c r="H158" s="312"/>
      <c r="I158" s="310"/>
      <c r="J158" s="311"/>
      <c r="K158" s="310"/>
      <c r="L158" s="311"/>
      <c r="M158" s="310"/>
      <c r="N158" s="312"/>
      <c r="O158" s="307"/>
      <c r="P158" s="312"/>
      <c r="Q158" s="307"/>
      <c r="R158" s="311"/>
      <c r="S158" s="307"/>
      <c r="T158" s="312"/>
      <c r="U158" s="307"/>
      <c r="V158" s="312"/>
      <c r="W158" s="307"/>
      <c r="X158" s="312"/>
      <c r="Y158" s="304">
        <f t="shared" si="2"/>
        <v>0</v>
      </c>
    </row>
    <row r="159" spans="1:25" ht="19" x14ac:dyDescent="0.25">
      <c r="A159" s="337">
        <v>23</v>
      </c>
      <c r="B159" s="337"/>
      <c r="C159" s="337"/>
      <c r="D159" s="94" t="s">
        <v>147</v>
      </c>
      <c r="E159" s="305"/>
      <c r="F159" s="312"/>
      <c r="G159" s="307"/>
      <c r="H159" s="312"/>
      <c r="I159" s="310"/>
      <c r="J159" s="311"/>
      <c r="K159" s="310"/>
      <c r="L159" s="311"/>
      <c r="M159" s="310"/>
      <c r="N159" s="312"/>
      <c r="O159" s="307"/>
      <c r="P159" s="312"/>
      <c r="Q159" s="307"/>
      <c r="R159" s="311"/>
      <c r="S159" s="307"/>
      <c r="T159" s="312"/>
      <c r="U159" s="307"/>
      <c r="V159" s="312"/>
      <c r="W159" s="307"/>
      <c r="X159" s="312"/>
      <c r="Y159" s="304">
        <f t="shared" si="2"/>
        <v>0</v>
      </c>
    </row>
    <row r="160" spans="1:25" ht="19" x14ac:dyDescent="0.25">
      <c r="A160" s="337">
        <v>24</v>
      </c>
      <c r="B160" s="337"/>
      <c r="C160" s="337"/>
      <c r="D160" s="94" t="s">
        <v>148</v>
      </c>
      <c r="E160" s="305"/>
      <c r="F160" s="312"/>
      <c r="G160" s="307"/>
      <c r="H160" s="312"/>
      <c r="I160" s="310"/>
      <c r="J160" s="311"/>
      <c r="K160" s="310"/>
      <c r="L160" s="311"/>
      <c r="M160" s="310"/>
      <c r="N160" s="312"/>
      <c r="O160" s="307"/>
      <c r="P160" s="312"/>
      <c r="Q160" s="307"/>
      <c r="R160" s="311"/>
      <c r="S160" s="307"/>
      <c r="T160" s="312"/>
      <c r="U160" s="307"/>
      <c r="V160" s="312"/>
      <c r="W160" s="307"/>
      <c r="X160" s="312"/>
      <c r="Y160" s="304">
        <f t="shared" si="2"/>
        <v>0</v>
      </c>
    </row>
    <row r="161" spans="1:25" ht="19" x14ac:dyDescent="0.25">
      <c r="A161" s="337">
        <v>25</v>
      </c>
      <c r="B161" s="337"/>
      <c r="C161" s="337"/>
      <c r="D161" s="94" t="s">
        <v>149</v>
      </c>
      <c r="E161" s="305"/>
      <c r="F161" s="312"/>
      <c r="G161" s="307"/>
      <c r="H161" s="312"/>
      <c r="I161" s="310"/>
      <c r="J161" s="311"/>
      <c r="K161" s="310"/>
      <c r="L161" s="311"/>
      <c r="M161" s="310"/>
      <c r="N161" s="312"/>
      <c r="O161" s="307"/>
      <c r="P161" s="312"/>
      <c r="Q161" s="307"/>
      <c r="R161" s="311"/>
      <c r="S161" s="307"/>
      <c r="T161" s="312"/>
      <c r="U161" s="307"/>
      <c r="V161" s="312"/>
      <c r="W161" s="307"/>
      <c r="X161" s="312"/>
      <c r="Y161" s="304">
        <f t="shared" si="2"/>
        <v>0</v>
      </c>
    </row>
    <row r="162" spans="1:25" ht="19" x14ac:dyDescent="0.25">
      <c r="A162" s="337">
        <v>26</v>
      </c>
      <c r="B162" s="337"/>
      <c r="C162" s="337"/>
      <c r="D162" s="94" t="s">
        <v>150</v>
      </c>
      <c r="E162" s="305"/>
      <c r="F162" s="312">
        <v>1</v>
      </c>
      <c r="G162" s="307"/>
      <c r="H162" s="312"/>
      <c r="I162" s="310"/>
      <c r="J162" s="311"/>
      <c r="K162" s="310"/>
      <c r="L162" s="311"/>
      <c r="M162" s="310"/>
      <c r="N162" s="312"/>
      <c r="O162" s="307"/>
      <c r="P162" s="312"/>
      <c r="Q162" s="307"/>
      <c r="R162" s="311"/>
      <c r="S162" s="307"/>
      <c r="T162" s="312"/>
      <c r="U162" s="307"/>
      <c r="V162" s="312"/>
      <c r="W162" s="307"/>
      <c r="X162" s="312"/>
      <c r="Y162" s="304">
        <f t="shared" si="2"/>
        <v>1</v>
      </c>
    </row>
    <row r="163" spans="1:25" ht="19" x14ac:dyDescent="0.25">
      <c r="A163" s="337">
        <v>27</v>
      </c>
      <c r="B163" s="337"/>
      <c r="C163" s="337"/>
      <c r="D163" s="94" t="s">
        <v>151</v>
      </c>
      <c r="E163" s="305"/>
      <c r="F163" s="312"/>
      <c r="G163" s="307"/>
      <c r="H163" s="312"/>
      <c r="I163" s="310"/>
      <c r="J163" s="311"/>
      <c r="K163" s="310"/>
      <c r="L163" s="311"/>
      <c r="M163" s="310"/>
      <c r="N163" s="312"/>
      <c r="O163" s="307"/>
      <c r="P163" s="312"/>
      <c r="Q163" s="307"/>
      <c r="R163" s="311"/>
      <c r="S163" s="307"/>
      <c r="T163" s="312"/>
      <c r="U163" s="307"/>
      <c r="V163" s="312"/>
      <c r="W163" s="307"/>
      <c r="X163" s="312"/>
      <c r="Y163" s="304">
        <f t="shared" si="2"/>
        <v>0</v>
      </c>
    </row>
    <row r="164" spans="1:25" ht="19" x14ac:dyDescent="0.25">
      <c r="A164" s="337">
        <v>28</v>
      </c>
      <c r="B164" s="337"/>
      <c r="C164" s="337"/>
      <c r="D164" s="94" t="s">
        <v>152</v>
      </c>
      <c r="E164" s="305"/>
      <c r="F164" s="312"/>
      <c r="G164" s="307"/>
      <c r="H164" s="312"/>
      <c r="I164" s="310"/>
      <c r="J164" s="311"/>
      <c r="K164" s="310"/>
      <c r="L164" s="311"/>
      <c r="M164" s="310"/>
      <c r="N164" s="312"/>
      <c r="O164" s="307"/>
      <c r="P164" s="312"/>
      <c r="Q164" s="307"/>
      <c r="R164" s="311"/>
      <c r="S164" s="307"/>
      <c r="T164" s="312"/>
      <c r="U164" s="307"/>
      <c r="V164" s="312"/>
      <c r="W164" s="307"/>
      <c r="X164" s="312"/>
      <c r="Y164" s="304">
        <f t="shared" si="2"/>
        <v>0</v>
      </c>
    </row>
    <row r="165" spans="1:25" ht="19" x14ac:dyDescent="0.25">
      <c r="A165" s="337">
        <v>29</v>
      </c>
      <c r="B165" s="337"/>
      <c r="C165" s="337"/>
      <c r="D165" s="94" t="s">
        <v>153</v>
      </c>
      <c r="E165" s="305"/>
      <c r="F165" s="312"/>
      <c r="G165" s="307"/>
      <c r="H165" s="312"/>
      <c r="I165" s="310"/>
      <c r="J165" s="311"/>
      <c r="K165" s="310"/>
      <c r="L165" s="311"/>
      <c r="M165" s="310"/>
      <c r="N165" s="312"/>
      <c r="O165" s="307"/>
      <c r="P165" s="312"/>
      <c r="Q165" s="307"/>
      <c r="R165" s="311"/>
      <c r="S165" s="307"/>
      <c r="T165" s="312"/>
      <c r="U165" s="307"/>
      <c r="V165" s="312"/>
      <c r="W165" s="307"/>
      <c r="X165" s="312"/>
      <c r="Y165" s="304">
        <f t="shared" si="2"/>
        <v>0</v>
      </c>
    </row>
    <row r="166" spans="1:25" ht="19" x14ac:dyDescent="0.25">
      <c r="A166" s="337">
        <v>30</v>
      </c>
      <c r="B166" s="337"/>
      <c r="C166" s="337"/>
      <c r="D166" s="94" t="s">
        <v>154</v>
      </c>
      <c r="E166" s="305"/>
      <c r="F166" s="312"/>
      <c r="G166" s="307"/>
      <c r="H166" s="312"/>
      <c r="I166" s="310"/>
      <c r="J166" s="311"/>
      <c r="K166" s="310"/>
      <c r="L166" s="311"/>
      <c r="M166" s="310"/>
      <c r="N166" s="312"/>
      <c r="O166" s="307"/>
      <c r="P166" s="312"/>
      <c r="Q166" s="307"/>
      <c r="R166" s="311"/>
      <c r="S166" s="307"/>
      <c r="T166" s="312"/>
      <c r="U166" s="307"/>
      <c r="V166" s="312"/>
      <c r="W166" s="307"/>
      <c r="X166" s="312"/>
      <c r="Y166" s="304">
        <f t="shared" si="2"/>
        <v>0</v>
      </c>
    </row>
    <row r="167" spans="1:25" ht="19" x14ac:dyDescent="0.25">
      <c r="A167" s="337">
        <v>31</v>
      </c>
      <c r="B167" s="337"/>
      <c r="C167" s="337"/>
      <c r="D167" s="94" t="s">
        <v>155</v>
      </c>
      <c r="E167" s="305"/>
      <c r="F167" s="312"/>
      <c r="G167" s="307"/>
      <c r="H167" s="312"/>
      <c r="I167" s="310"/>
      <c r="J167" s="311"/>
      <c r="K167" s="310"/>
      <c r="L167" s="311"/>
      <c r="M167" s="310"/>
      <c r="N167" s="312"/>
      <c r="O167" s="307"/>
      <c r="P167" s="312"/>
      <c r="Q167" s="307"/>
      <c r="R167" s="311"/>
      <c r="S167" s="307"/>
      <c r="T167" s="312"/>
      <c r="U167" s="307"/>
      <c r="V167" s="312"/>
      <c r="W167" s="307"/>
      <c r="X167" s="312"/>
      <c r="Y167" s="304">
        <f t="shared" si="2"/>
        <v>0</v>
      </c>
    </row>
    <row r="168" spans="1:25" ht="19" x14ac:dyDescent="0.25">
      <c r="A168" s="337">
        <v>32</v>
      </c>
      <c r="B168" s="337"/>
      <c r="C168" s="337"/>
      <c r="D168" s="94" t="s">
        <v>156</v>
      </c>
      <c r="E168" s="305"/>
      <c r="F168" s="312"/>
      <c r="G168" s="307"/>
      <c r="H168" s="312"/>
      <c r="I168" s="310"/>
      <c r="J168" s="311"/>
      <c r="K168" s="310"/>
      <c r="L168" s="311"/>
      <c r="M168" s="310"/>
      <c r="N168" s="312"/>
      <c r="O168" s="307"/>
      <c r="P168" s="312"/>
      <c r="Q168" s="307"/>
      <c r="R168" s="311"/>
      <c r="S168" s="307"/>
      <c r="T168" s="312"/>
      <c r="U168" s="307"/>
      <c r="V168" s="312"/>
      <c r="W168" s="307"/>
      <c r="X168" s="312"/>
      <c r="Y168" s="304">
        <f t="shared" si="2"/>
        <v>0</v>
      </c>
    </row>
    <row r="169" spans="1:25" ht="19" x14ac:dyDescent="0.25">
      <c r="A169" s="337">
        <v>33</v>
      </c>
      <c r="B169" s="337"/>
      <c r="C169" s="337"/>
      <c r="D169" s="94" t="s">
        <v>157</v>
      </c>
      <c r="E169" s="305"/>
      <c r="F169" s="312"/>
      <c r="G169" s="307"/>
      <c r="H169" s="312"/>
      <c r="I169" s="310"/>
      <c r="J169" s="311"/>
      <c r="K169" s="310"/>
      <c r="L169" s="311"/>
      <c r="M169" s="310"/>
      <c r="N169" s="312"/>
      <c r="O169" s="307"/>
      <c r="P169" s="312"/>
      <c r="Q169" s="307"/>
      <c r="R169" s="311"/>
      <c r="S169" s="307"/>
      <c r="T169" s="312"/>
      <c r="U169" s="307"/>
      <c r="V169" s="312"/>
      <c r="W169" s="307"/>
      <c r="X169" s="312"/>
      <c r="Y169" s="304">
        <f t="shared" si="2"/>
        <v>0</v>
      </c>
    </row>
    <row r="170" spans="1:25" ht="19" x14ac:dyDescent="0.25">
      <c r="A170" s="337">
        <v>34</v>
      </c>
      <c r="B170" s="337"/>
      <c r="C170" s="337"/>
      <c r="D170" s="94" t="s">
        <v>303</v>
      </c>
      <c r="E170" s="305"/>
      <c r="F170" s="312"/>
      <c r="G170" s="307"/>
      <c r="H170" s="312"/>
      <c r="I170" s="310"/>
      <c r="J170" s="311"/>
      <c r="K170" s="310"/>
      <c r="L170" s="311"/>
      <c r="M170" s="310"/>
      <c r="N170" s="312"/>
      <c r="O170" s="307"/>
      <c r="P170" s="312"/>
      <c r="Q170" s="307"/>
      <c r="R170" s="311"/>
      <c r="S170" s="307"/>
      <c r="T170" s="312"/>
      <c r="U170" s="307"/>
      <c r="V170" s="312"/>
      <c r="W170" s="307"/>
      <c r="X170" s="312"/>
      <c r="Y170" s="304">
        <f t="shared" si="2"/>
        <v>0</v>
      </c>
    </row>
    <row r="171" spans="1:25" ht="19" x14ac:dyDescent="0.25">
      <c r="A171" s="337">
        <v>35</v>
      </c>
      <c r="B171" s="337"/>
      <c r="C171" s="337"/>
      <c r="D171" s="94" t="s">
        <v>304</v>
      </c>
      <c r="E171" s="305"/>
      <c r="F171" s="312"/>
      <c r="G171" s="307"/>
      <c r="H171" s="312"/>
      <c r="I171" s="310"/>
      <c r="J171" s="311"/>
      <c r="K171" s="310"/>
      <c r="L171" s="311"/>
      <c r="M171" s="310"/>
      <c r="N171" s="312"/>
      <c r="O171" s="307"/>
      <c r="P171" s="312"/>
      <c r="Q171" s="307"/>
      <c r="R171" s="311"/>
      <c r="S171" s="307"/>
      <c r="T171" s="312"/>
      <c r="U171" s="307"/>
      <c r="V171" s="312"/>
      <c r="W171" s="307"/>
      <c r="X171" s="312"/>
      <c r="Y171" s="304">
        <f t="shared" si="2"/>
        <v>0</v>
      </c>
    </row>
    <row r="172" spans="1:25" ht="19" x14ac:dyDescent="0.25">
      <c r="A172" s="337">
        <v>36</v>
      </c>
      <c r="B172" s="337"/>
      <c r="C172" s="337"/>
      <c r="D172" s="94" t="s">
        <v>305</v>
      </c>
      <c r="E172" s="305"/>
      <c r="F172" s="312"/>
      <c r="G172" s="307"/>
      <c r="H172" s="312"/>
      <c r="I172" s="310"/>
      <c r="J172" s="311"/>
      <c r="K172" s="310"/>
      <c r="L172" s="311"/>
      <c r="M172" s="310"/>
      <c r="N172" s="312"/>
      <c r="O172" s="307"/>
      <c r="P172" s="312"/>
      <c r="Q172" s="307"/>
      <c r="R172" s="311"/>
      <c r="S172" s="307"/>
      <c r="T172" s="312"/>
      <c r="U172" s="307"/>
      <c r="V172" s="312"/>
      <c r="W172" s="307"/>
      <c r="X172" s="312"/>
      <c r="Y172" s="304">
        <f t="shared" si="2"/>
        <v>0</v>
      </c>
    </row>
    <row r="173" spans="1:25" ht="19" x14ac:dyDescent="0.25">
      <c r="A173" s="337">
        <v>37</v>
      </c>
      <c r="B173" s="337"/>
      <c r="C173" s="337"/>
      <c r="D173" s="94" t="s">
        <v>306</v>
      </c>
      <c r="E173" s="305"/>
      <c r="F173" s="312"/>
      <c r="G173" s="307"/>
      <c r="H173" s="312"/>
      <c r="I173" s="310"/>
      <c r="J173" s="311"/>
      <c r="K173" s="310"/>
      <c r="L173" s="311"/>
      <c r="M173" s="310"/>
      <c r="N173" s="312"/>
      <c r="O173" s="307"/>
      <c r="P173" s="312"/>
      <c r="Q173" s="307"/>
      <c r="R173" s="311"/>
      <c r="S173" s="307"/>
      <c r="T173" s="312"/>
      <c r="U173" s="307"/>
      <c r="V173" s="312"/>
      <c r="W173" s="307"/>
      <c r="X173" s="312"/>
      <c r="Y173" s="304">
        <f t="shared" si="2"/>
        <v>0</v>
      </c>
    </row>
    <row r="174" spans="1:25" ht="19" x14ac:dyDescent="0.25">
      <c r="A174" s="337">
        <v>38</v>
      </c>
      <c r="B174" s="337"/>
      <c r="C174" s="337"/>
      <c r="D174" s="94" t="s">
        <v>307</v>
      </c>
      <c r="E174" s="305"/>
      <c r="F174" s="312"/>
      <c r="G174" s="307"/>
      <c r="H174" s="312"/>
      <c r="I174" s="310"/>
      <c r="J174" s="311"/>
      <c r="K174" s="310"/>
      <c r="L174" s="311"/>
      <c r="M174" s="310"/>
      <c r="N174" s="312"/>
      <c r="O174" s="307"/>
      <c r="P174" s="312"/>
      <c r="Q174" s="307"/>
      <c r="R174" s="311"/>
      <c r="S174" s="307"/>
      <c r="T174" s="312"/>
      <c r="U174" s="307"/>
      <c r="V174" s="312"/>
      <c r="W174" s="307"/>
      <c r="X174" s="312"/>
      <c r="Y174" s="304">
        <f t="shared" si="2"/>
        <v>0</v>
      </c>
    </row>
    <row r="175" spans="1:25" ht="19" x14ac:dyDescent="0.25">
      <c r="A175" s="337">
        <v>39</v>
      </c>
      <c r="B175" s="337"/>
      <c r="C175" s="337"/>
      <c r="D175" s="94" t="s">
        <v>308</v>
      </c>
      <c r="E175" s="305"/>
      <c r="F175" s="312"/>
      <c r="G175" s="307"/>
      <c r="H175" s="312"/>
      <c r="I175" s="310"/>
      <c r="J175" s="311"/>
      <c r="K175" s="310"/>
      <c r="L175" s="311"/>
      <c r="M175" s="310"/>
      <c r="N175" s="312"/>
      <c r="O175" s="307"/>
      <c r="P175" s="312"/>
      <c r="Q175" s="307"/>
      <c r="R175" s="311"/>
      <c r="S175" s="307"/>
      <c r="T175" s="312"/>
      <c r="U175" s="307"/>
      <c r="V175" s="312"/>
      <c r="W175" s="307"/>
      <c r="X175" s="312"/>
      <c r="Y175" s="304">
        <f t="shared" si="2"/>
        <v>0</v>
      </c>
    </row>
    <row r="176" spans="1:25" ht="19" x14ac:dyDescent="0.25">
      <c r="A176" s="337">
        <v>40</v>
      </c>
      <c r="B176" s="337"/>
      <c r="C176" s="337"/>
      <c r="D176" s="94" t="s">
        <v>309</v>
      </c>
      <c r="E176" s="305"/>
      <c r="F176" s="312"/>
      <c r="G176" s="307"/>
      <c r="H176" s="312"/>
      <c r="I176" s="310"/>
      <c r="J176" s="311"/>
      <c r="K176" s="310"/>
      <c r="L176" s="311"/>
      <c r="M176" s="310"/>
      <c r="N176" s="312"/>
      <c r="O176" s="307"/>
      <c r="P176" s="312"/>
      <c r="Q176" s="307"/>
      <c r="R176" s="311"/>
      <c r="S176" s="307"/>
      <c r="T176" s="312"/>
      <c r="U176" s="307"/>
      <c r="V176" s="312"/>
      <c r="W176" s="307"/>
      <c r="X176" s="312"/>
      <c r="Y176" s="304">
        <f t="shared" si="2"/>
        <v>0</v>
      </c>
    </row>
    <row r="177" spans="1:25" ht="19" x14ac:dyDescent="0.25">
      <c r="A177" s="337">
        <v>41</v>
      </c>
      <c r="B177" s="337"/>
      <c r="C177" s="337"/>
      <c r="D177" s="94" t="s">
        <v>310</v>
      </c>
      <c r="E177" s="305"/>
      <c r="F177" s="312"/>
      <c r="G177" s="307"/>
      <c r="H177" s="312"/>
      <c r="I177" s="310"/>
      <c r="J177" s="311"/>
      <c r="K177" s="310"/>
      <c r="L177" s="311"/>
      <c r="M177" s="310"/>
      <c r="N177" s="312"/>
      <c r="O177" s="307"/>
      <c r="P177" s="312"/>
      <c r="Q177" s="307"/>
      <c r="R177" s="311"/>
      <c r="S177" s="307"/>
      <c r="T177" s="312"/>
      <c r="U177" s="307"/>
      <c r="V177" s="312"/>
      <c r="W177" s="307"/>
      <c r="X177" s="312"/>
      <c r="Y177" s="304">
        <f t="shared" si="2"/>
        <v>0</v>
      </c>
    </row>
    <row r="178" spans="1:25" ht="19" x14ac:dyDescent="0.25">
      <c r="A178" s="337">
        <v>42</v>
      </c>
      <c r="B178" s="337"/>
      <c r="C178" s="337"/>
      <c r="D178" s="94" t="s">
        <v>311</v>
      </c>
      <c r="E178" s="305">
        <v>1</v>
      </c>
      <c r="F178" s="312"/>
      <c r="G178" s="307"/>
      <c r="H178" s="312"/>
      <c r="I178" s="332"/>
      <c r="J178" s="311"/>
      <c r="K178" s="310"/>
      <c r="L178" s="311"/>
      <c r="M178" s="310"/>
      <c r="N178" s="312"/>
      <c r="O178" s="307"/>
      <c r="P178" s="312"/>
      <c r="Q178" s="307"/>
      <c r="R178" s="311"/>
      <c r="S178" s="307"/>
      <c r="T178" s="312"/>
      <c r="U178" s="307"/>
      <c r="V178" s="312"/>
      <c r="W178" s="307"/>
      <c r="X178" s="312"/>
      <c r="Y178" s="304">
        <f t="shared" si="2"/>
        <v>1</v>
      </c>
    </row>
    <row r="179" spans="1:25" ht="19" x14ac:dyDescent="0.25">
      <c r="A179" s="338">
        <v>34</v>
      </c>
      <c r="B179" s="338"/>
      <c r="C179" s="338"/>
      <c r="D179" s="95" t="s">
        <v>158</v>
      </c>
      <c r="E179" s="305"/>
      <c r="F179" s="312"/>
      <c r="G179" s="307"/>
      <c r="H179" s="312"/>
      <c r="I179" s="310"/>
      <c r="J179" s="311"/>
      <c r="K179" s="310"/>
      <c r="L179" s="311"/>
      <c r="M179" s="310"/>
      <c r="N179" s="312"/>
      <c r="O179" s="307"/>
      <c r="P179" s="312"/>
      <c r="Q179" s="307"/>
      <c r="R179" s="311"/>
      <c r="S179" s="307"/>
      <c r="T179" s="312"/>
      <c r="U179" s="307"/>
      <c r="V179" s="312"/>
      <c r="W179" s="307"/>
      <c r="X179" s="312"/>
      <c r="Y179" s="304">
        <f t="shared" si="2"/>
        <v>0</v>
      </c>
    </row>
    <row r="180" spans="1:25" ht="19" x14ac:dyDescent="0.25">
      <c r="A180" s="338">
        <v>35</v>
      </c>
      <c r="B180" s="338"/>
      <c r="C180" s="338"/>
      <c r="D180" s="95" t="s">
        <v>159</v>
      </c>
      <c r="E180" s="305"/>
      <c r="F180" s="312"/>
      <c r="G180" s="307"/>
      <c r="H180" s="312"/>
      <c r="I180" s="310"/>
      <c r="J180" s="311"/>
      <c r="K180" s="310"/>
      <c r="L180" s="311"/>
      <c r="M180" s="310"/>
      <c r="N180" s="312"/>
      <c r="O180" s="307"/>
      <c r="P180" s="312"/>
      <c r="Q180" s="307"/>
      <c r="R180" s="311"/>
      <c r="S180" s="307"/>
      <c r="T180" s="312"/>
      <c r="U180" s="307"/>
      <c r="V180" s="312"/>
      <c r="W180" s="307"/>
      <c r="X180" s="312"/>
      <c r="Y180" s="304">
        <f t="shared" si="2"/>
        <v>0</v>
      </c>
    </row>
    <row r="181" spans="1:25" ht="19" x14ac:dyDescent="0.25">
      <c r="A181" s="338">
        <v>36</v>
      </c>
      <c r="B181" s="338"/>
      <c r="C181" s="338"/>
      <c r="D181" s="95" t="s">
        <v>160</v>
      </c>
      <c r="E181" s="305"/>
      <c r="F181" s="312"/>
      <c r="G181" s="307"/>
      <c r="H181" s="312"/>
      <c r="I181" s="310"/>
      <c r="J181" s="311"/>
      <c r="K181" s="310"/>
      <c r="L181" s="311"/>
      <c r="M181" s="310"/>
      <c r="N181" s="312"/>
      <c r="O181" s="307"/>
      <c r="P181" s="312"/>
      <c r="Q181" s="307"/>
      <c r="R181" s="311"/>
      <c r="S181" s="307"/>
      <c r="T181" s="312"/>
      <c r="U181" s="307"/>
      <c r="V181" s="312"/>
      <c r="W181" s="307"/>
      <c r="X181" s="312"/>
      <c r="Y181" s="304">
        <f t="shared" si="2"/>
        <v>0</v>
      </c>
    </row>
    <row r="182" spans="1:25" ht="19" x14ac:dyDescent="0.25">
      <c r="A182" s="338">
        <v>37</v>
      </c>
      <c r="B182" s="338"/>
      <c r="C182" s="338"/>
      <c r="D182" s="95" t="s">
        <v>161</v>
      </c>
      <c r="E182" s="305"/>
      <c r="F182" s="312"/>
      <c r="G182" s="307"/>
      <c r="H182" s="312"/>
      <c r="I182" s="310"/>
      <c r="J182" s="311"/>
      <c r="K182" s="310"/>
      <c r="L182" s="311"/>
      <c r="M182" s="310"/>
      <c r="N182" s="312"/>
      <c r="O182" s="307"/>
      <c r="P182" s="312"/>
      <c r="Q182" s="307"/>
      <c r="R182" s="311"/>
      <c r="S182" s="307"/>
      <c r="T182" s="312"/>
      <c r="U182" s="307"/>
      <c r="V182" s="312"/>
      <c r="W182" s="307"/>
      <c r="X182" s="312"/>
      <c r="Y182" s="304">
        <f t="shared" si="2"/>
        <v>0</v>
      </c>
    </row>
    <row r="183" spans="1:25" ht="19" x14ac:dyDescent="0.25">
      <c r="A183" s="338">
        <v>38</v>
      </c>
      <c r="B183" s="338"/>
      <c r="C183" s="338"/>
      <c r="D183" s="95" t="s">
        <v>162</v>
      </c>
      <c r="E183" s="305"/>
      <c r="F183" s="312"/>
      <c r="G183" s="307"/>
      <c r="H183" s="312"/>
      <c r="I183" s="310"/>
      <c r="J183" s="311"/>
      <c r="K183" s="310"/>
      <c r="L183" s="311"/>
      <c r="M183" s="310"/>
      <c r="N183" s="312"/>
      <c r="O183" s="307"/>
      <c r="P183" s="312"/>
      <c r="Q183" s="307"/>
      <c r="R183" s="311"/>
      <c r="S183" s="307"/>
      <c r="T183" s="312"/>
      <c r="U183" s="307"/>
      <c r="V183" s="312"/>
      <c r="W183" s="307"/>
      <c r="X183" s="312"/>
      <c r="Y183" s="304">
        <f t="shared" si="2"/>
        <v>0</v>
      </c>
    </row>
    <row r="184" spans="1:25" ht="19" x14ac:dyDescent="0.25">
      <c r="A184" s="338">
        <v>39</v>
      </c>
      <c r="B184" s="338"/>
      <c r="C184" s="338"/>
      <c r="D184" s="95" t="s">
        <v>163</v>
      </c>
      <c r="E184" s="305"/>
      <c r="F184" s="312"/>
      <c r="G184" s="307"/>
      <c r="H184" s="312"/>
      <c r="I184" s="308"/>
      <c r="J184" s="311"/>
      <c r="K184" s="310"/>
      <c r="L184" s="311"/>
      <c r="M184" s="310"/>
      <c r="N184" s="312"/>
      <c r="O184" s="307"/>
      <c r="P184" s="312"/>
      <c r="Q184" s="307"/>
      <c r="R184" s="311"/>
      <c r="S184" s="307"/>
      <c r="T184" s="312"/>
      <c r="U184" s="307"/>
      <c r="V184" s="312"/>
      <c r="W184" s="307"/>
      <c r="X184" s="312"/>
      <c r="Y184" s="304">
        <f t="shared" si="2"/>
        <v>0</v>
      </c>
    </row>
    <row r="185" spans="1:25" ht="19" x14ac:dyDescent="0.25">
      <c r="A185" s="338">
        <v>40</v>
      </c>
      <c r="B185" s="338"/>
      <c r="C185" s="338"/>
      <c r="D185" s="95" t="s">
        <v>164</v>
      </c>
      <c r="E185" s="305"/>
      <c r="F185" s="312"/>
      <c r="G185" s="307"/>
      <c r="H185" s="312"/>
      <c r="I185" s="310"/>
      <c r="J185" s="311"/>
      <c r="K185" s="310"/>
      <c r="L185" s="311"/>
      <c r="M185" s="310"/>
      <c r="N185" s="312"/>
      <c r="O185" s="307"/>
      <c r="P185" s="312"/>
      <c r="Q185" s="307"/>
      <c r="R185" s="311"/>
      <c r="S185" s="307"/>
      <c r="T185" s="312"/>
      <c r="U185" s="307"/>
      <c r="V185" s="312"/>
      <c r="W185" s="307"/>
      <c r="X185" s="312"/>
      <c r="Y185" s="304">
        <f t="shared" si="2"/>
        <v>0</v>
      </c>
    </row>
    <row r="186" spans="1:25" ht="19" x14ac:dyDescent="0.25">
      <c r="A186" s="338">
        <v>41</v>
      </c>
      <c r="B186" s="338"/>
      <c r="C186" s="338"/>
      <c r="D186" s="95" t="s">
        <v>165</v>
      </c>
      <c r="E186" s="305"/>
      <c r="F186" s="312"/>
      <c r="G186" s="307"/>
      <c r="H186" s="312"/>
      <c r="I186" s="310"/>
      <c r="J186" s="311"/>
      <c r="K186" s="310"/>
      <c r="L186" s="311"/>
      <c r="M186" s="310"/>
      <c r="N186" s="312"/>
      <c r="O186" s="307"/>
      <c r="P186" s="312"/>
      <c r="Q186" s="307"/>
      <c r="R186" s="311"/>
      <c r="S186" s="307"/>
      <c r="T186" s="312"/>
      <c r="U186" s="307"/>
      <c r="V186" s="312"/>
      <c r="W186" s="307"/>
      <c r="X186" s="312"/>
      <c r="Y186" s="304">
        <f t="shared" si="2"/>
        <v>0</v>
      </c>
    </row>
    <row r="187" spans="1:25" ht="19" x14ac:dyDescent="0.25">
      <c r="A187" s="338">
        <v>42</v>
      </c>
      <c r="B187" s="338"/>
      <c r="C187" s="338"/>
      <c r="D187" s="95" t="s">
        <v>166</v>
      </c>
      <c r="E187" s="305"/>
      <c r="F187" s="312"/>
      <c r="G187" s="307"/>
      <c r="H187" s="312"/>
      <c r="I187" s="310"/>
      <c r="J187" s="311"/>
      <c r="K187" s="310"/>
      <c r="L187" s="311"/>
      <c r="M187" s="310"/>
      <c r="N187" s="312"/>
      <c r="O187" s="307"/>
      <c r="P187" s="312"/>
      <c r="Q187" s="307"/>
      <c r="R187" s="311"/>
      <c r="S187" s="307"/>
      <c r="T187" s="312"/>
      <c r="U187" s="307"/>
      <c r="V187" s="312"/>
      <c r="W187" s="307"/>
      <c r="X187" s="312"/>
      <c r="Y187" s="304">
        <f t="shared" si="2"/>
        <v>0</v>
      </c>
    </row>
    <row r="188" spans="1:25" ht="19" x14ac:dyDescent="0.25">
      <c r="A188" s="338">
        <v>43</v>
      </c>
      <c r="B188" s="338"/>
      <c r="C188" s="338"/>
      <c r="D188" s="95" t="s">
        <v>167</v>
      </c>
      <c r="E188" s="305"/>
      <c r="F188" s="312"/>
      <c r="G188" s="307"/>
      <c r="H188" s="312"/>
      <c r="I188" s="310"/>
      <c r="J188" s="311"/>
      <c r="K188" s="310"/>
      <c r="L188" s="311"/>
      <c r="M188" s="310"/>
      <c r="N188" s="312"/>
      <c r="O188" s="307"/>
      <c r="P188" s="312"/>
      <c r="Q188" s="307"/>
      <c r="R188" s="311"/>
      <c r="S188" s="307"/>
      <c r="T188" s="312"/>
      <c r="U188" s="307"/>
      <c r="V188" s="312"/>
      <c r="W188" s="307"/>
      <c r="X188" s="312"/>
      <c r="Y188" s="304">
        <f t="shared" si="2"/>
        <v>0</v>
      </c>
    </row>
    <row r="189" spans="1:25" ht="19" x14ac:dyDescent="0.25">
      <c r="A189" s="338">
        <v>44</v>
      </c>
      <c r="B189" s="338"/>
      <c r="C189" s="338"/>
      <c r="D189" s="95" t="s">
        <v>168</v>
      </c>
      <c r="E189" s="305"/>
      <c r="F189" s="312"/>
      <c r="G189" s="307"/>
      <c r="H189" s="312"/>
      <c r="I189" s="310"/>
      <c r="J189" s="311"/>
      <c r="K189" s="310"/>
      <c r="L189" s="311"/>
      <c r="M189" s="310"/>
      <c r="N189" s="312"/>
      <c r="O189" s="307"/>
      <c r="P189" s="312"/>
      <c r="Q189" s="307"/>
      <c r="R189" s="311"/>
      <c r="S189" s="307"/>
      <c r="T189" s="312"/>
      <c r="U189" s="307"/>
      <c r="V189" s="312"/>
      <c r="W189" s="307"/>
      <c r="X189" s="312"/>
      <c r="Y189" s="304">
        <f t="shared" si="2"/>
        <v>0</v>
      </c>
    </row>
    <row r="190" spans="1:25" ht="19" x14ac:dyDescent="0.25">
      <c r="A190" s="338">
        <v>45</v>
      </c>
      <c r="B190" s="338"/>
      <c r="C190" s="338"/>
      <c r="D190" s="95" t="s">
        <v>169</v>
      </c>
      <c r="E190" s="305"/>
      <c r="F190" s="312"/>
      <c r="G190" s="307"/>
      <c r="H190" s="312"/>
      <c r="I190" s="310"/>
      <c r="J190" s="311"/>
      <c r="K190" s="310"/>
      <c r="L190" s="311"/>
      <c r="M190" s="310"/>
      <c r="N190" s="312"/>
      <c r="O190" s="307"/>
      <c r="P190" s="312"/>
      <c r="Q190" s="307"/>
      <c r="R190" s="311"/>
      <c r="S190" s="307"/>
      <c r="T190" s="312"/>
      <c r="U190" s="307"/>
      <c r="V190" s="312"/>
      <c r="W190" s="307"/>
      <c r="X190" s="312"/>
      <c r="Y190" s="304">
        <f t="shared" si="2"/>
        <v>0</v>
      </c>
    </row>
    <row r="191" spans="1:25" ht="19" x14ac:dyDescent="0.25">
      <c r="A191" s="338">
        <v>46</v>
      </c>
      <c r="B191" s="338"/>
      <c r="C191" s="338"/>
      <c r="D191" s="95" t="s">
        <v>170</v>
      </c>
      <c r="E191" s="305"/>
      <c r="F191" s="312"/>
      <c r="G191" s="307"/>
      <c r="H191" s="312"/>
      <c r="I191" s="310"/>
      <c r="J191" s="311"/>
      <c r="K191" s="310"/>
      <c r="L191" s="311"/>
      <c r="M191" s="310"/>
      <c r="N191" s="312"/>
      <c r="O191" s="307"/>
      <c r="P191" s="312"/>
      <c r="Q191" s="307"/>
      <c r="R191" s="311"/>
      <c r="S191" s="307"/>
      <c r="T191" s="312"/>
      <c r="U191" s="307"/>
      <c r="V191" s="312"/>
      <c r="W191" s="307"/>
      <c r="X191" s="312"/>
      <c r="Y191" s="304">
        <f t="shared" si="2"/>
        <v>0</v>
      </c>
    </row>
    <row r="192" spans="1:25" ht="19" x14ac:dyDescent="0.25">
      <c r="A192" s="338">
        <v>47</v>
      </c>
      <c r="B192" s="338"/>
      <c r="C192" s="338"/>
      <c r="D192" s="95" t="s">
        <v>171</v>
      </c>
      <c r="E192" s="305"/>
      <c r="F192" s="312"/>
      <c r="G192" s="307"/>
      <c r="H192" s="312"/>
      <c r="I192" s="310"/>
      <c r="J192" s="311"/>
      <c r="K192" s="310"/>
      <c r="L192" s="309"/>
      <c r="M192" s="310"/>
      <c r="N192" s="312"/>
      <c r="O192" s="307"/>
      <c r="P192" s="312"/>
      <c r="Q192" s="307"/>
      <c r="R192" s="311"/>
      <c r="S192" s="307"/>
      <c r="T192" s="312"/>
      <c r="U192" s="307"/>
      <c r="V192" s="312"/>
      <c r="W192" s="307"/>
      <c r="X192" s="312"/>
      <c r="Y192" s="304">
        <f t="shared" si="2"/>
        <v>0</v>
      </c>
    </row>
    <row r="193" spans="1:25" ht="19" x14ac:dyDescent="0.25">
      <c r="A193" s="338">
        <v>48</v>
      </c>
      <c r="B193" s="338"/>
      <c r="C193" s="338"/>
      <c r="D193" s="95" t="s">
        <v>172</v>
      </c>
      <c r="E193" s="305"/>
      <c r="F193" s="312"/>
      <c r="G193" s="307"/>
      <c r="H193" s="312"/>
      <c r="I193" s="310"/>
      <c r="J193" s="311"/>
      <c r="K193" s="310"/>
      <c r="L193" s="311"/>
      <c r="M193" s="310"/>
      <c r="N193" s="312"/>
      <c r="O193" s="307"/>
      <c r="P193" s="312"/>
      <c r="Q193" s="307"/>
      <c r="R193" s="311"/>
      <c r="S193" s="307"/>
      <c r="T193" s="312"/>
      <c r="U193" s="307"/>
      <c r="V193" s="312"/>
      <c r="W193" s="307"/>
      <c r="X193" s="312"/>
      <c r="Y193" s="304">
        <f t="shared" si="2"/>
        <v>0</v>
      </c>
    </row>
    <row r="194" spans="1:25" ht="19" x14ac:dyDescent="0.25">
      <c r="A194" s="338">
        <v>49</v>
      </c>
      <c r="B194" s="338"/>
      <c r="C194" s="338"/>
      <c r="D194" s="95" t="s">
        <v>173</v>
      </c>
      <c r="E194" s="305"/>
      <c r="F194" s="312"/>
      <c r="G194" s="307"/>
      <c r="H194" s="312"/>
      <c r="I194" s="310"/>
      <c r="J194" s="311"/>
      <c r="K194" s="310"/>
      <c r="L194" s="311"/>
      <c r="M194" s="310"/>
      <c r="N194" s="312"/>
      <c r="O194" s="307"/>
      <c r="P194" s="312"/>
      <c r="Q194" s="307"/>
      <c r="R194" s="311"/>
      <c r="S194" s="307"/>
      <c r="T194" s="312"/>
      <c r="U194" s="307"/>
      <c r="V194" s="312"/>
      <c r="W194" s="307"/>
      <c r="X194" s="312"/>
      <c r="Y194" s="304">
        <f t="shared" si="2"/>
        <v>0</v>
      </c>
    </row>
    <row r="195" spans="1:25" ht="19" x14ac:dyDescent="0.25">
      <c r="A195" s="338">
        <v>50</v>
      </c>
      <c r="B195" s="338"/>
      <c r="C195" s="338"/>
      <c r="D195" s="95" t="s">
        <v>174</v>
      </c>
      <c r="E195" s="305"/>
      <c r="F195" s="312"/>
      <c r="G195" s="307"/>
      <c r="H195" s="312"/>
      <c r="I195" s="310"/>
      <c r="J195" s="311"/>
      <c r="K195" s="310"/>
      <c r="L195" s="311"/>
      <c r="M195" s="310"/>
      <c r="N195" s="312"/>
      <c r="O195" s="307"/>
      <c r="P195" s="312"/>
      <c r="Q195" s="307"/>
      <c r="R195" s="311"/>
      <c r="S195" s="307"/>
      <c r="T195" s="312"/>
      <c r="U195" s="307"/>
      <c r="V195" s="312"/>
      <c r="W195" s="307"/>
      <c r="X195" s="312"/>
      <c r="Y195" s="304">
        <f t="shared" si="2"/>
        <v>0</v>
      </c>
    </row>
    <row r="196" spans="1:25" ht="19" x14ac:dyDescent="0.25">
      <c r="A196" s="338">
        <v>51</v>
      </c>
      <c r="B196" s="338"/>
      <c r="C196" s="338"/>
      <c r="D196" s="95" t="s">
        <v>175</v>
      </c>
      <c r="E196" s="305"/>
      <c r="F196" s="312"/>
      <c r="G196" s="307"/>
      <c r="H196" s="312"/>
      <c r="I196" s="310"/>
      <c r="J196" s="311"/>
      <c r="K196" s="310"/>
      <c r="L196" s="311"/>
      <c r="M196" s="310"/>
      <c r="N196" s="312"/>
      <c r="O196" s="307"/>
      <c r="P196" s="312"/>
      <c r="Q196" s="307"/>
      <c r="R196" s="311"/>
      <c r="S196" s="307"/>
      <c r="T196" s="312"/>
      <c r="U196" s="307"/>
      <c r="V196" s="312"/>
      <c r="W196" s="307"/>
      <c r="X196" s="312"/>
      <c r="Y196" s="304">
        <f t="shared" si="2"/>
        <v>0</v>
      </c>
    </row>
    <row r="197" spans="1:25" ht="19" x14ac:dyDescent="0.25">
      <c r="A197" s="338">
        <v>52</v>
      </c>
      <c r="B197" s="338"/>
      <c r="C197" s="338"/>
      <c r="D197" s="95" t="s">
        <v>176</v>
      </c>
      <c r="E197" s="305"/>
      <c r="F197" s="312"/>
      <c r="G197" s="307"/>
      <c r="H197" s="312"/>
      <c r="I197" s="310"/>
      <c r="J197" s="311"/>
      <c r="K197" s="310"/>
      <c r="L197" s="311"/>
      <c r="M197" s="310"/>
      <c r="N197" s="312"/>
      <c r="O197" s="307"/>
      <c r="P197" s="312"/>
      <c r="Q197" s="307"/>
      <c r="R197" s="311"/>
      <c r="S197" s="307"/>
      <c r="T197" s="312"/>
      <c r="U197" s="307"/>
      <c r="V197" s="312"/>
      <c r="W197" s="307"/>
      <c r="X197" s="312"/>
      <c r="Y197" s="304">
        <f t="shared" si="2"/>
        <v>0</v>
      </c>
    </row>
    <row r="198" spans="1:25" ht="19" x14ac:dyDescent="0.25">
      <c r="A198" s="338">
        <v>53</v>
      </c>
      <c r="B198" s="338"/>
      <c r="C198" s="338"/>
      <c r="D198" s="95" t="s">
        <v>177</v>
      </c>
      <c r="E198" s="305"/>
      <c r="F198" s="312"/>
      <c r="G198" s="307"/>
      <c r="H198" s="312"/>
      <c r="I198" s="310"/>
      <c r="J198" s="311"/>
      <c r="K198" s="310"/>
      <c r="L198" s="311"/>
      <c r="M198" s="310"/>
      <c r="N198" s="312"/>
      <c r="O198" s="307"/>
      <c r="P198" s="312"/>
      <c r="Q198" s="307"/>
      <c r="R198" s="311"/>
      <c r="S198" s="307"/>
      <c r="T198" s="312"/>
      <c r="U198" s="307"/>
      <c r="V198" s="312"/>
      <c r="W198" s="307"/>
      <c r="X198" s="312"/>
      <c r="Y198" s="304">
        <f t="shared" si="2"/>
        <v>0</v>
      </c>
    </row>
    <row r="199" spans="1:25" ht="19" x14ac:dyDescent="0.25">
      <c r="A199" s="338">
        <v>54</v>
      </c>
      <c r="B199" s="338"/>
      <c r="C199" s="338"/>
      <c r="D199" s="95" t="s">
        <v>178</v>
      </c>
      <c r="E199" s="305"/>
      <c r="F199" s="312"/>
      <c r="G199" s="307"/>
      <c r="H199" s="312"/>
      <c r="I199" s="310"/>
      <c r="J199" s="311"/>
      <c r="K199" s="310"/>
      <c r="L199" s="311"/>
      <c r="M199" s="310"/>
      <c r="N199" s="312"/>
      <c r="O199" s="307"/>
      <c r="P199" s="312"/>
      <c r="Q199" s="307"/>
      <c r="R199" s="311"/>
      <c r="S199" s="307"/>
      <c r="T199" s="312"/>
      <c r="U199" s="307"/>
      <c r="V199" s="312"/>
      <c r="W199" s="307"/>
      <c r="X199" s="312"/>
      <c r="Y199" s="304">
        <f t="shared" si="2"/>
        <v>0</v>
      </c>
    </row>
    <row r="200" spans="1:25" ht="19" x14ac:dyDescent="0.25">
      <c r="A200" s="339">
        <v>55</v>
      </c>
      <c r="B200" s="339"/>
      <c r="C200" s="339"/>
      <c r="D200" s="96" t="s">
        <v>179</v>
      </c>
      <c r="E200" s="305"/>
      <c r="F200" s="312"/>
      <c r="G200" s="307"/>
      <c r="H200" s="312"/>
      <c r="I200" s="310"/>
      <c r="J200" s="311"/>
      <c r="K200" s="310"/>
      <c r="L200" s="311"/>
      <c r="M200" s="310"/>
      <c r="N200" s="312"/>
      <c r="O200" s="307"/>
      <c r="P200" s="312"/>
      <c r="Q200" s="307"/>
      <c r="R200" s="311"/>
      <c r="S200" s="307"/>
      <c r="T200" s="312"/>
      <c r="U200" s="307"/>
      <c r="V200" s="312"/>
      <c r="W200" s="307"/>
      <c r="X200" s="312"/>
      <c r="Y200" s="304">
        <f t="shared" si="2"/>
        <v>0</v>
      </c>
    </row>
    <row r="201" spans="1:25" ht="19" x14ac:dyDescent="0.25">
      <c r="A201" s="339">
        <v>56</v>
      </c>
      <c r="B201" s="339"/>
      <c r="C201" s="339"/>
      <c r="D201" s="96" t="s">
        <v>180</v>
      </c>
      <c r="E201" s="305"/>
      <c r="F201" s="312"/>
      <c r="G201" s="307"/>
      <c r="H201" s="312"/>
      <c r="I201" s="310"/>
      <c r="J201" s="311"/>
      <c r="K201" s="310"/>
      <c r="L201" s="311"/>
      <c r="M201" s="310"/>
      <c r="N201" s="312"/>
      <c r="O201" s="307"/>
      <c r="P201" s="312"/>
      <c r="Q201" s="307"/>
      <c r="R201" s="311"/>
      <c r="S201" s="307"/>
      <c r="T201" s="312"/>
      <c r="U201" s="307"/>
      <c r="V201" s="312"/>
      <c r="W201" s="307"/>
      <c r="X201" s="312"/>
      <c r="Y201" s="304">
        <f t="shared" si="2"/>
        <v>0</v>
      </c>
    </row>
    <row r="202" spans="1:25" ht="19" x14ac:dyDescent="0.25">
      <c r="A202" s="339">
        <v>57</v>
      </c>
      <c r="B202" s="339"/>
      <c r="C202" s="339"/>
      <c r="D202" s="96" t="s">
        <v>181</v>
      </c>
      <c r="E202" s="305"/>
      <c r="F202" s="312"/>
      <c r="G202" s="307"/>
      <c r="H202" s="312"/>
      <c r="I202" s="310"/>
      <c r="J202" s="311"/>
      <c r="K202" s="310"/>
      <c r="L202" s="311"/>
      <c r="M202" s="310"/>
      <c r="N202" s="312"/>
      <c r="O202" s="307"/>
      <c r="P202" s="312"/>
      <c r="Q202" s="307"/>
      <c r="R202" s="311"/>
      <c r="S202" s="307"/>
      <c r="T202" s="312"/>
      <c r="U202" s="307"/>
      <c r="V202" s="312"/>
      <c r="W202" s="307"/>
      <c r="X202" s="312"/>
      <c r="Y202" s="304">
        <f t="shared" si="2"/>
        <v>0</v>
      </c>
    </row>
    <row r="203" spans="1:25" ht="19" x14ac:dyDescent="0.25">
      <c r="A203" s="339">
        <v>58</v>
      </c>
      <c r="B203" s="339"/>
      <c r="C203" s="339"/>
      <c r="D203" s="96" t="s">
        <v>182</v>
      </c>
      <c r="E203" s="305"/>
      <c r="F203" s="312">
        <v>1</v>
      </c>
      <c r="G203" s="307"/>
      <c r="H203" s="312"/>
      <c r="I203" s="310"/>
      <c r="J203" s="311"/>
      <c r="K203" s="310"/>
      <c r="L203" s="311"/>
      <c r="M203" s="310"/>
      <c r="N203" s="312"/>
      <c r="O203" s="307"/>
      <c r="P203" s="312"/>
      <c r="Q203" s="307"/>
      <c r="R203" s="311"/>
      <c r="S203" s="307"/>
      <c r="T203" s="312"/>
      <c r="U203" s="307"/>
      <c r="V203" s="312"/>
      <c r="W203" s="307"/>
      <c r="X203" s="312"/>
      <c r="Y203" s="304">
        <f t="shared" si="2"/>
        <v>1</v>
      </c>
    </row>
    <row r="204" spans="1:25" ht="19" x14ac:dyDescent="0.25">
      <c r="A204" s="339">
        <v>59</v>
      </c>
      <c r="B204" s="339"/>
      <c r="C204" s="339"/>
      <c r="D204" s="96" t="s">
        <v>183</v>
      </c>
      <c r="E204" s="305"/>
      <c r="F204" s="312"/>
      <c r="G204" s="307"/>
      <c r="H204" s="312"/>
      <c r="I204" s="310"/>
      <c r="J204" s="311"/>
      <c r="K204" s="310"/>
      <c r="L204" s="311"/>
      <c r="M204" s="310"/>
      <c r="N204" s="312"/>
      <c r="O204" s="307"/>
      <c r="P204" s="312"/>
      <c r="Q204" s="307"/>
      <c r="R204" s="311"/>
      <c r="S204" s="307"/>
      <c r="T204" s="312"/>
      <c r="U204" s="307"/>
      <c r="V204" s="312"/>
      <c r="W204" s="307"/>
      <c r="X204" s="312"/>
      <c r="Y204" s="304">
        <f t="shared" ref="Y204:Y227" si="3">SUM(E204:X204)</f>
        <v>0</v>
      </c>
    </row>
    <row r="205" spans="1:25" ht="19" x14ac:dyDescent="0.25">
      <c r="A205" s="339">
        <v>60</v>
      </c>
      <c r="B205" s="339"/>
      <c r="C205" s="339"/>
      <c r="D205" s="96" t="s">
        <v>184</v>
      </c>
      <c r="E205" s="305"/>
      <c r="F205" s="312"/>
      <c r="G205" s="307"/>
      <c r="H205" s="312"/>
      <c r="I205" s="310"/>
      <c r="J205" s="311"/>
      <c r="K205" s="310"/>
      <c r="L205" s="311"/>
      <c r="M205" s="310"/>
      <c r="N205" s="312"/>
      <c r="O205" s="307"/>
      <c r="P205" s="312"/>
      <c r="Q205" s="307"/>
      <c r="R205" s="311"/>
      <c r="S205" s="307"/>
      <c r="T205" s="312"/>
      <c r="U205" s="307"/>
      <c r="V205" s="312"/>
      <c r="W205" s="307"/>
      <c r="X205" s="312"/>
      <c r="Y205" s="304">
        <f t="shared" si="3"/>
        <v>0</v>
      </c>
    </row>
    <row r="206" spans="1:25" ht="19" x14ac:dyDescent="0.25">
      <c r="A206" s="339">
        <v>61</v>
      </c>
      <c r="B206" s="339"/>
      <c r="C206" s="339"/>
      <c r="D206" s="96" t="s">
        <v>185</v>
      </c>
      <c r="E206" s="305"/>
      <c r="F206" s="312"/>
      <c r="G206" s="307"/>
      <c r="H206" s="312"/>
      <c r="I206" s="310"/>
      <c r="J206" s="311"/>
      <c r="K206" s="310"/>
      <c r="L206" s="311"/>
      <c r="M206" s="310"/>
      <c r="N206" s="312"/>
      <c r="O206" s="307"/>
      <c r="P206" s="312"/>
      <c r="Q206" s="307"/>
      <c r="R206" s="311"/>
      <c r="S206" s="307"/>
      <c r="T206" s="312"/>
      <c r="U206" s="307"/>
      <c r="V206" s="312"/>
      <c r="W206" s="307"/>
      <c r="X206" s="312"/>
      <c r="Y206" s="304">
        <f t="shared" si="3"/>
        <v>0</v>
      </c>
    </row>
    <row r="207" spans="1:25" ht="19" x14ac:dyDescent="0.25">
      <c r="A207" s="339">
        <v>62</v>
      </c>
      <c r="B207" s="339"/>
      <c r="C207" s="339"/>
      <c r="D207" s="96" t="s">
        <v>186</v>
      </c>
      <c r="E207" s="305"/>
      <c r="F207" s="312"/>
      <c r="G207" s="307"/>
      <c r="H207" s="312"/>
      <c r="I207" s="310"/>
      <c r="J207" s="311"/>
      <c r="K207" s="310"/>
      <c r="L207" s="311"/>
      <c r="M207" s="310"/>
      <c r="N207" s="312"/>
      <c r="O207" s="307"/>
      <c r="P207" s="312"/>
      <c r="Q207" s="307"/>
      <c r="R207" s="311"/>
      <c r="S207" s="307"/>
      <c r="T207" s="312"/>
      <c r="U207" s="307"/>
      <c r="V207" s="312"/>
      <c r="W207" s="307"/>
      <c r="X207" s="312"/>
      <c r="Y207" s="304">
        <f t="shared" si="3"/>
        <v>0</v>
      </c>
    </row>
    <row r="208" spans="1:25" ht="19" x14ac:dyDescent="0.25">
      <c r="A208" s="339">
        <v>63</v>
      </c>
      <c r="B208" s="339"/>
      <c r="C208" s="339"/>
      <c r="D208" s="96" t="s">
        <v>187</v>
      </c>
      <c r="E208" s="305"/>
      <c r="F208" s="312"/>
      <c r="G208" s="307"/>
      <c r="H208" s="312"/>
      <c r="I208" s="310"/>
      <c r="J208" s="311"/>
      <c r="K208" s="310"/>
      <c r="L208" s="311"/>
      <c r="M208" s="310"/>
      <c r="N208" s="312"/>
      <c r="O208" s="307"/>
      <c r="P208" s="312"/>
      <c r="Q208" s="307"/>
      <c r="R208" s="311"/>
      <c r="S208" s="307"/>
      <c r="T208" s="312"/>
      <c r="U208" s="307"/>
      <c r="V208" s="312"/>
      <c r="W208" s="307"/>
      <c r="X208" s="312"/>
      <c r="Y208" s="304">
        <f t="shared" si="3"/>
        <v>0</v>
      </c>
    </row>
    <row r="209" spans="1:25" ht="19" x14ac:dyDescent="0.25">
      <c r="A209" s="339">
        <v>64</v>
      </c>
      <c r="B209" s="339"/>
      <c r="C209" s="339"/>
      <c r="D209" s="96" t="s">
        <v>188</v>
      </c>
      <c r="E209" s="305"/>
      <c r="F209" s="312"/>
      <c r="G209" s="307"/>
      <c r="H209" s="312"/>
      <c r="I209" s="310"/>
      <c r="J209" s="311"/>
      <c r="K209" s="310"/>
      <c r="L209" s="311"/>
      <c r="M209" s="310"/>
      <c r="N209" s="312"/>
      <c r="O209" s="307"/>
      <c r="P209" s="312"/>
      <c r="Q209" s="307"/>
      <c r="R209" s="311"/>
      <c r="S209" s="307"/>
      <c r="T209" s="312"/>
      <c r="U209" s="307"/>
      <c r="V209" s="312"/>
      <c r="W209" s="307"/>
      <c r="X209" s="312"/>
      <c r="Y209" s="304">
        <f t="shared" si="3"/>
        <v>0</v>
      </c>
    </row>
    <row r="210" spans="1:25" ht="19" x14ac:dyDescent="0.25">
      <c r="A210" s="339">
        <v>65</v>
      </c>
      <c r="B210" s="339"/>
      <c r="C210" s="339"/>
      <c r="D210" s="96" t="s">
        <v>189</v>
      </c>
      <c r="E210" s="305"/>
      <c r="F210" s="312"/>
      <c r="G210" s="307"/>
      <c r="H210" s="312"/>
      <c r="I210" s="310"/>
      <c r="J210" s="311"/>
      <c r="K210" s="310"/>
      <c r="L210" s="311"/>
      <c r="M210" s="310"/>
      <c r="N210" s="312"/>
      <c r="O210" s="307"/>
      <c r="P210" s="312"/>
      <c r="Q210" s="307"/>
      <c r="R210" s="311"/>
      <c r="S210" s="307"/>
      <c r="T210" s="312"/>
      <c r="U210" s="307"/>
      <c r="V210" s="312"/>
      <c r="W210" s="307"/>
      <c r="X210" s="312"/>
      <c r="Y210" s="304">
        <f t="shared" si="3"/>
        <v>0</v>
      </c>
    </row>
    <row r="211" spans="1:25" ht="19" x14ac:dyDescent="0.25">
      <c r="A211" s="339">
        <v>66</v>
      </c>
      <c r="B211" s="339"/>
      <c r="C211" s="339"/>
      <c r="D211" s="96" t="s">
        <v>190</v>
      </c>
      <c r="E211" s="305"/>
      <c r="F211" s="312"/>
      <c r="G211" s="307"/>
      <c r="H211" s="312"/>
      <c r="I211" s="310"/>
      <c r="J211" s="311"/>
      <c r="K211" s="310"/>
      <c r="L211" s="311"/>
      <c r="M211" s="310"/>
      <c r="N211" s="312"/>
      <c r="O211" s="307"/>
      <c r="P211" s="312"/>
      <c r="Q211" s="307"/>
      <c r="R211" s="311"/>
      <c r="S211" s="307"/>
      <c r="T211" s="312"/>
      <c r="U211" s="307"/>
      <c r="V211" s="312"/>
      <c r="W211" s="307"/>
      <c r="X211" s="312"/>
      <c r="Y211" s="304">
        <f t="shared" si="3"/>
        <v>0</v>
      </c>
    </row>
    <row r="212" spans="1:25" ht="19" x14ac:dyDescent="0.25">
      <c r="A212" s="339">
        <v>67</v>
      </c>
      <c r="B212" s="339"/>
      <c r="C212" s="339"/>
      <c r="D212" s="96" t="s">
        <v>191</v>
      </c>
      <c r="E212" s="305"/>
      <c r="F212" s="312"/>
      <c r="G212" s="307"/>
      <c r="H212" s="312"/>
      <c r="I212" s="310"/>
      <c r="J212" s="311"/>
      <c r="K212" s="310"/>
      <c r="L212" s="311"/>
      <c r="M212" s="310"/>
      <c r="N212" s="312"/>
      <c r="O212" s="307"/>
      <c r="P212" s="312"/>
      <c r="Q212" s="307"/>
      <c r="R212" s="311"/>
      <c r="S212" s="307"/>
      <c r="T212" s="312"/>
      <c r="U212" s="307"/>
      <c r="V212" s="312"/>
      <c r="W212" s="307"/>
      <c r="X212" s="312"/>
      <c r="Y212" s="304">
        <f t="shared" si="3"/>
        <v>0</v>
      </c>
    </row>
    <row r="213" spans="1:25" ht="19" x14ac:dyDescent="0.25">
      <c r="A213" s="339">
        <v>68</v>
      </c>
      <c r="B213" s="339"/>
      <c r="C213" s="339"/>
      <c r="D213" s="96" t="s">
        <v>192</v>
      </c>
      <c r="E213" s="305"/>
      <c r="F213" s="312"/>
      <c r="G213" s="307"/>
      <c r="H213" s="312"/>
      <c r="I213" s="310"/>
      <c r="J213" s="311"/>
      <c r="K213" s="310"/>
      <c r="L213" s="311"/>
      <c r="M213" s="310"/>
      <c r="N213" s="312"/>
      <c r="O213" s="307"/>
      <c r="P213" s="312"/>
      <c r="Q213" s="307"/>
      <c r="R213" s="311"/>
      <c r="S213" s="307"/>
      <c r="T213" s="312"/>
      <c r="U213" s="307"/>
      <c r="V213" s="312"/>
      <c r="W213" s="307"/>
      <c r="X213" s="312"/>
      <c r="Y213" s="304">
        <f t="shared" si="3"/>
        <v>0</v>
      </c>
    </row>
    <row r="214" spans="1:25" ht="19" x14ac:dyDescent="0.25">
      <c r="A214" s="339">
        <v>69</v>
      </c>
      <c r="B214" s="339"/>
      <c r="C214" s="339"/>
      <c r="D214" s="96" t="s">
        <v>193</v>
      </c>
      <c r="E214" s="305"/>
      <c r="F214" s="312"/>
      <c r="G214" s="307"/>
      <c r="H214" s="312"/>
      <c r="I214" s="310"/>
      <c r="J214" s="311"/>
      <c r="K214" s="310"/>
      <c r="L214" s="311"/>
      <c r="M214" s="310"/>
      <c r="N214" s="312"/>
      <c r="O214" s="307"/>
      <c r="P214" s="312"/>
      <c r="Q214" s="307"/>
      <c r="R214" s="311"/>
      <c r="S214" s="307"/>
      <c r="T214" s="312"/>
      <c r="U214" s="307"/>
      <c r="V214" s="312"/>
      <c r="W214" s="307"/>
      <c r="X214" s="312"/>
      <c r="Y214" s="304">
        <f t="shared" si="3"/>
        <v>0</v>
      </c>
    </row>
    <row r="215" spans="1:25" ht="19" x14ac:dyDescent="0.25">
      <c r="A215" s="339">
        <v>70</v>
      </c>
      <c r="B215" s="339"/>
      <c r="C215" s="339"/>
      <c r="D215" s="96" t="s">
        <v>194</v>
      </c>
      <c r="E215" s="305"/>
      <c r="F215" s="306"/>
      <c r="G215" s="307"/>
      <c r="H215" s="306"/>
      <c r="I215" s="310"/>
      <c r="J215" s="309"/>
      <c r="K215" s="310"/>
      <c r="L215" s="311"/>
      <c r="M215" s="310"/>
      <c r="N215" s="312"/>
      <c r="O215" s="307"/>
      <c r="P215" s="306"/>
      <c r="Q215" s="307"/>
      <c r="R215" s="311"/>
      <c r="S215" s="307"/>
      <c r="T215" s="312"/>
      <c r="U215" s="307"/>
      <c r="V215" s="312"/>
      <c r="W215" s="307"/>
      <c r="X215" s="312"/>
      <c r="Y215" s="304">
        <f t="shared" si="3"/>
        <v>0</v>
      </c>
    </row>
    <row r="216" spans="1:25" ht="19" x14ac:dyDescent="0.25">
      <c r="A216" s="339">
        <v>71</v>
      </c>
      <c r="B216" s="339"/>
      <c r="C216" s="339"/>
      <c r="D216" s="96" t="s">
        <v>195</v>
      </c>
      <c r="E216" s="305"/>
      <c r="F216" s="312"/>
      <c r="G216" s="307"/>
      <c r="H216" s="312"/>
      <c r="I216" s="310"/>
      <c r="J216" s="311"/>
      <c r="K216" s="310"/>
      <c r="L216" s="311"/>
      <c r="M216" s="310"/>
      <c r="N216" s="312"/>
      <c r="O216" s="307"/>
      <c r="P216" s="312"/>
      <c r="Q216" s="307"/>
      <c r="R216" s="311"/>
      <c r="S216" s="307"/>
      <c r="T216" s="312"/>
      <c r="U216" s="307"/>
      <c r="V216" s="312"/>
      <c r="W216" s="307"/>
      <c r="X216" s="312"/>
      <c r="Y216" s="304">
        <f t="shared" si="3"/>
        <v>0</v>
      </c>
    </row>
    <row r="217" spans="1:25" ht="19" x14ac:dyDescent="0.25">
      <c r="A217" s="339">
        <v>72</v>
      </c>
      <c r="B217" s="339"/>
      <c r="C217" s="339"/>
      <c r="D217" s="96" t="s">
        <v>196</v>
      </c>
      <c r="E217" s="305"/>
      <c r="F217" s="312"/>
      <c r="G217" s="307"/>
      <c r="H217" s="312"/>
      <c r="I217" s="310"/>
      <c r="J217" s="311"/>
      <c r="K217" s="310"/>
      <c r="L217" s="311"/>
      <c r="M217" s="310"/>
      <c r="N217" s="312"/>
      <c r="O217" s="307"/>
      <c r="P217" s="312"/>
      <c r="Q217" s="307"/>
      <c r="R217" s="311"/>
      <c r="S217" s="307"/>
      <c r="T217" s="312"/>
      <c r="U217" s="307"/>
      <c r="V217" s="312"/>
      <c r="W217" s="307"/>
      <c r="X217" s="312"/>
      <c r="Y217" s="304">
        <f t="shared" si="3"/>
        <v>0</v>
      </c>
    </row>
    <row r="218" spans="1:25" ht="19" x14ac:dyDescent="0.25">
      <c r="A218" s="339">
        <v>73</v>
      </c>
      <c r="B218" s="339"/>
      <c r="C218" s="339"/>
      <c r="D218" s="96" t="s">
        <v>197</v>
      </c>
      <c r="E218" s="305"/>
      <c r="F218" s="312"/>
      <c r="G218" s="307"/>
      <c r="H218" s="312"/>
      <c r="I218" s="310"/>
      <c r="J218" s="311"/>
      <c r="K218" s="310"/>
      <c r="L218" s="311"/>
      <c r="M218" s="310"/>
      <c r="N218" s="312"/>
      <c r="O218" s="307"/>
      <c r="P218" s="312"/>
      <c r="Q218" s="307"/>
      <c r="R218" s="311"/>
      <c r="S218" s="307"/>
      <c r="T218" s="312"/>
      <c r="U218" s="307"/>
      <c r="V218" s="312"/>
      <c r="W218" s="307"/>
      <c r="X218" s="312"/>
      <c r="Y218" s="304">
        <f t="shared" si="3"/>
        <v>0</v>
      </c>
    </row>
    <row r="219" spans="1:25" ht="19" x14ac:dyDescent="0.25">
      <c r="A219" s="339">
        <v>74</v>
      </c>
      <c r="B219" s="339"/>
      <c r="C219" s="339"/>
      <c r="D219" s="96" t="s">
        <v>198</v>
      </c>
      <c r="E219" s="305"/>
      <c r="F219" s="312"/>
      <c r="G219" s="307"/>
      <c r="H219" s="312"/>
      <c r="I219" s="310"/>
      <c r="J219" s="311"/>
      <c r="K219" s="310"/>
      <c r="L219" s="311"/>
      <c r="M219" s="310"/>
      <c r="N219" s="312"/>
      <c r="O219" s="307"/>
      <c r="P219" s="312"/>
      <c r="Q219" s="307"/>
      <c r="R219" s="311"/>
      <c r="S219" s="307"/>
      <c r="T219" s="312"/>
      <c r="U219" s="307"/>
      <c r="V219" s="312"/>
      <c r="W219" s="307"/>
      <c r="X219" s="312"/>
      <c r="Y219" s="304">
        <f t="shared" si="3"/>
        <v>0</v>
      </c>
    </row>
    <row r="220" spans="1:25" ht="19" x14ac:dyDescent="0.25">
      <c r="A220" s="339">
        <v>75</v>
      </c>
      <c r="B220" s="339"/>
      <c r="C220" s="339"/>
      <c r="D220" s="96" t="s">
        <v>199</v>
      </c>
      <c r="E220" s="305"/>
      <c r="F220" s="312"/>
      <c r="G220" s="307"/>
      <c r="H220" s="312"/>
      <c r="I220" s="310"/>
      <c r="J220" s="311"/>
      <c r="K220" s="310"/>
      <c r="L220" s="311"/>
      <c r="M220" s="310"/>
      <c r="N220" s="312"/>
      <c r="O220" s="307"/>
      <c r="P220" s="312"/>
      <c r="Q220" s="307"/>
      <c r="R220" s="311"/>
      <c r="S220" s="307"/>
      <c r="T220" s="312"/>
      <c r="U220" s="307"/>
      <c r="V220" s="312"/>
      <c r="W220" s="307"/>
      <c r="X220" s="312"/>
      <c r="Y220" s="304">
        <f t="shared" si="3"/>
        <v>0</v>
      </c>
    </row>
    <row r="221" spans="1:25" ht="19" x14ac:dyDescent="0.25">
      <c r="A221" s="340">
        <v>76</v>
      </c>
      <c r="B221" s="340"/>
      <c r="C221" s="340"/>
      <c r="D221" s="97" t="s">
        <v>340</v>
      </c>
      <c r="E221" s="305"/>
      <c r="F221" s="312">
        <v>2</v>
      </c>
      <c r="G221" s="307"/>
      <c r="H221" s="312"/>
      <c r="I221" s="308"/>
      <c r="J221" s="311"/>
      <c r="K221" s="310"/>
      <c r="L221" s="311"/>
      <c r="M221" s="310"/>
      <c r="N221" s="312"/>
      <c r="O221" s="307"/>
      <c r="P221" s="312"/>
      <c r="Q221" s="307"/>
      <c r="R221" s="311"/>
      <c r="S221" s="307"/>
      <c r="T221" s="312"/>
      <c r="U221" s="307"/>
      <c r="V221" s="312"/>
      <c r="W221" s="307"/>
      <c r="X221" s="312"/>
      <c r="Y221" s="304">
        <f t="shared" si="3"/>
        <v>2</v>
      </c>
    </row>
    <row r="222" spans="1:25" ht="19" x14ac:dyDescent="0.25">
      <c r="A222" s="340">
        <v>77</v>
      </c>
      <c r="B222" s="340"/>
      <c r="C222" s="340"/>
      <c r="D222" s="97" t="s">
        <v>201</v>
      </c>
      <c r="E222" s="305">
        <v>1</v>
      </c>
      <c r="F222" s="312">
        <v>4</v>
      </c>
      <c r="G222" s="307"/>
      <c r="H222" s="312"/>
      <c r="I222" s="308"/>
      <c r="J222" s="311"/>
      <c r="K222" s="310"/>
      <c r="L222" s="311"/>
      <c r="M222" s="310"/>
      <c r="N222" s="312"/>
      <c r="O222" s="307"/>
      <c r="P222" s="312"/>
      <c r="Q222" s="307"/>
      <c r="R222" s="311"/>
      <c r="S222" s="307"/>
      <c r="T222" s="312"/>
      <c r="U222" s="307"/>
      <c r="V222" s="312"/>
      <c r="W222" s="307"/>
      <c r="X222" s="312"/>
      <c r="Y222" s="304">
        <f t="shared" si="3"/>
        <v>5</v>
      </c>
    </row>
    <row r="223" spans="1:25" ht="19" x14ac:dyDescent="0.25">
      <c r="D223" s="98" t="s">
        <v>202</v>
      </c>
      <c r="I223" s="342"/>
      <c r="X223" s="344"/>
      <c r="Y223" s="304">
        <f t="shared" si="3"/>
        <v>0</v>
      </c>
    </row>
    <row r="224" spans="1:25" ht="15" customHeight="1" x14ac:dyDescent="0.25">
      <c r="Y224" s="304">
        <f t="shared" si="3"/>
        <v>0</v>
      </c>
    </row>
    <row r="225" spans="25:25" ht="15" customHeight="1" x14ac:dyDescent="0.25">
      <c r="Y225" s="304">
        <f t="shared" si="3"/>
        <v>0</v>
      </c>
    </row>
    <row r="226" spans="25:25" ht="15" customHeight="1" x14ac:dyDescent="0.25">
      <c r="Y226" s="304">
        <f t="shared" si="3"/>
        <v>0</v>
      </c>
    </row>
    <row r="227" spans="25:25" ht="15" customHeight="1" x14ac:dyDescent="0.25">
      <c r="Y227" s="304">
        <f t="shared" si="3"/>
        <v>0</v>
      </c>
    </row>
  </sheetData>
  <mergeCells count="7">
    <mergeCell ref="A1:D1"/>
    <mergeCell ref="Y1:Y3"/>
    <mergeCell ref="A2:D2"/>
    <mergeCell ref="A135:D135"/>
    <mergeCell ref="A45:D45"/>
    <mergeCell ref="A67:D67"/>
    <mergeCell ref="A91:D9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77C57-4ADE-4A73-9BD3-C3B63330A2AD}">
  <dimension ref="A1:F567"/>
  <sheetViews>
    <sheetView topLeftCell="B198" workbookViewId="0">
      <selection activeCell="D208" sqref="D208:D231"/>
    </sheetView>
  </sheetViews>
  <sheetFormatPr baseColWidth="10" defaultColWidth="12.5" defaultRowHeight="16" x14ac:dyDescent="0.2"/>
  <cols>
    <col min="1" max="1" width="4.1640625" style="60" bestFit="1" customWidth="1"/>
    <col min="2" max="2" width="67.5" style="245" bestFit="1" customWidth="1"/>
    <col min="3" max="3" width="11" style="60" bestFit="1" customWidth="1"/>
    <col min="4" max="5" width="14.33203125" style="60" customWidth="1"/>
    <col min="6" max="6" width="78.5" style="60" bestFit="1" customWidth="1"/>
    <col min="7" max="16384" width="12.5" style="60"/>
  </cols>
  <sheetData>
    <row r="1" spans="1:6" x14ac:dyDescent="0.2">
      <c r="A1" s="260"/>
      <c r="B1" s="261"/>
      <c r="C1" s="268"/>
      <c r="D1" s="268"/>
      <c r="E1" s="345"/>
      <c r="F1" s="262"/>
    </row>
    <row r="2" spans="1:6" x14ac:dyDescent="0.2">
      <c r="A2" s="263"/>
      <c r="B2" s="249"/>
      <c r="C2" s="244"/>
      <c r="D2" s="244"/>
      <c r="E2" s="346"/>
      <c r="F2" s="264"/>
    </row>
    <row r="3" spans="1:6" x14ac:dyDescent="0.2">
      <c r="A3" s="263"/>
      <c r="B3" s="249"/>
      <c r="C3" s="244"/>
      <c r="D3" s="244"/>
      <c r="E3" s="346"/>
      <c r="F3" s="264"/>
    </row>
    <row r="4" spans="1:6" x14ac:dyDescent="0.2">
      <c r="A4" s="263"/>
      <c r="B4" s="249"/>
      <c r="C4" s="244"/>
      <c r="D4" s="244"/>
      <c r="E4" s="346"/>
      <c r="F4" s="264"/>
    </row>
    <row r="5" spans="1:6" x14ac:dyDescent="0.2">
      <c r="A5" s="263"/>
      <c r="B5" s="249"/>
      <c r="C5" s="244"/>
      <c r="D5" s="244"/>
      <c r="E5" s="346"/>
      <c r="F5" s="264"/>
    </row>
    <row r="6" spans="1:6" x14ac:dyDescent="0.2">
      <c r="A6" s="263"/>
      <c r="B6" s="249"/>
      <c r="C6" s="244"/>
      <c r="D6" s="244"/>
      <c r="E6" s="346"/>
      <c r="F6" s="264"/>
    </row>
    <row r="7" spans="1:6" x14ac:dyDescent="0.2">
      <c r="A7" s="263"/>
      <c r="B7" s="249"/>
      <c r="C7" s="244"/>
      <c r="D7" s="244"/>
      <c r="E7" s="346"/>
      <c r="F7" s="264"/>
    </row>
    <row r="8" spans="1:6" x14ac:dyDescent="0.2">
      <c r="A8" s="263"/>
      <c r="B8" s="249"/>
      <c r="C8" s="244"/>
      <c r="D8" s="244"/>
      <c r="E8" s="346"/>
      <c r="F8" s="264"/>
    </row>
    <row r="9" spans="1:6" x14ac:dyDescent="0.2">
      <c r="A9" s="263"/>
      <c r="B9" s="249"/>
      <c r="C9" s="244"/>
      <c r="D9" s="244"/>
      <c r="E9" s="346"/>
      <c r="F9" s="264"/>
    </row>
    <row r="10" spans="1:6" ht="19.75" customHeight="1" thickBot="1" x14ac:dyDescent="0.25">
      <c r="A10" s="265"/>
      <c r="B10" s="266"/>
      <c r="C10" s="269"/>
      <c r="D10" s="269"/>
      <c r="E10" s="347"/>
      <c r="F10" s="267"/>
    </row>
    <row r="11" spans="1:6" ht="74.75" customHeight="1" thickBot="1" x14ac:dyDescent="0.25">
      <c r="A11" s="368" t="s">
        <v>4</v>
      </c>
      <c r="B11" s="369"/>
      <c r="C11" s="283" t="s">
        <v>232</v>
      </c>
      <c r="D11" s="284" t="s">
        <v>329</v>
      </c>
      <c r="E11" s="348" t="s">
        <v>331</v>
      </c>
      <c r="F11" s="285" t="s">
        <v>330</v>
      </c>
    </row>
    <row r="12" spans="1:6" s="64" customFormat="1" x14ac:dyDescent="0.2">
      <c r="A12" s="279">
        <v>1</v>
      </c>
      <c r="B12" s="280" t="s">
        <v>237</v>
      </c>
      <c r="C12" s="281">
        <v>255</v>
      </c>
      <c r="D12" s="281">
        <v>255</v>
      </c>
      <c r="E12" s="349">
        <f>D12-C12</f>
        <v>0</v>
      </c>
      <c r="F12" s="282"/>
    </row>
    <row r="13" spans="1:6" x14ac:dyDescent="0.2">
      <c r="A13" s="270">
        <v>2</v>
      </c>
      <c r="B13" s="252" t="s">
        <v>10</v>
      </c>
      <c r="C13" s="251">
        <v>355</v>
      </c>
      <c r="D13" s="251">
        <v>355</v>
      </c>
      <c r="E13" s="349">
        <f t="shared" ref="E13:E76" si="0">D13-C13</f>
        <v>0</v>
      </c>
      <c r="F13" s="264"/>
    </row>
    <row r="14" spans="1:6" x14ac:dyDescent="0.2">
      <c r="A14" s="270">
        <v>3</v>
      </c>
      <c r="B14" s="252" t="s">
        <v>11</v>
      </c>
      <c r="C14" s="251">
        <v>50</v>
      </c>
      <c r="D14" s="251">
        <v>100</v>
      </c>
      <c r="E14" s="349">
        <f t="shared" si="0"/>
        <v>50</v>
      </c>
      <c r="F14" s="264" t="s">
        <v>332</v>
      </c>
    </row>
    <row r="15" spans="1:6" x14ac:dyDescent="0.2">
      <c r="A15" s="270">
        <v>4</v>
      </c>
      <c r="B15" s="252" t="s">
        <v>12</v>
      </c>
      <c r="C15" s="251">
        <v>525</v>
      </c>
      <c r="D15" s="251">
        <v>525</v>
      </c>
      <c r="E15" s="349">
        <f t="shared" si="0"/>
        <v>0</v>
      </c>
      <c r="F15" s="264"/>
    </row>
    <row r="16" spans="1:6" x14ac:dyDescent="0.2">
      <c r="A16" s="270">
        <v>5</v>
      </c>
      <c r="B16" s="252" t="s">
        <v>13</v>
      </c>
      <c r="C16" s="251">
        <v>377</v>
      </c>
      <c r="D16" s="251">
        <v>377</v>
      </c>
      <c r="E16" s="349">
        <f t="shared" si="0"/>
        <v>0</v>
      </c>
      <c r="F16" s="264"/>
    </row>
    <row r="17" spans="1:6" x14ac:dyDescent="0.2">
      <c r="A17" s="270">
        <v>6</v>
      </c>
      <c r="B17" s="253" t="s">
        <v>14</v>
      </c>
      <c r="C17" s="251">
        <v>907</v>
      </c>
      <c r="D17" s="251">
        <v>907</v>
      </c>
      <c r="E17" s="349">
        <f t="shared" si="0"/>
        <v>0</v>
      </c>
      <c r="F17" s="264"/>
    </row>
    <row r="18" spans="1:6" x14ac:dyDescent="0.2">
      <c r="A18" s="270">
        <v>7</v>
      </c>
      <c r="B18" s="252" t="s">
        <v>15</v>
      </c>
      <c r="C18" s="251">
        <v>940</v>
      </c>
      <c r="D18" s="251">
        <v>940</v>
      </c>
      <c r="E18" s="349">
        <f t="shared" si="0"/>
        <v>0</v>
      </c>
      <c r="F18" s="264"/>
    </row>
    <row r="19" spans="1:6" x14ac:dyDescent="0.2">
      <c r="A19" s="270">
        <v>8</v>
      </c>
      <c r="B19" s="252" t="s">
        <v>16</v>
      </c>
      <c r="C19" s="251">
        <v>0</v>
      </c>
      <c r="D19" s="251"/>
      <c r="E19" s="349">
        <f t="shared" si="0"/>
        <v>0</v>
      </c>
      <c r="F19" s="264"/>
    </row>
    <row r="20" spans="1:6" x14ac:dyDescent="0.2">
      <c r="A20" s="270">
        <v>9</v>
      </c>
      <c r="B20" s="252" t="s">
        <v>17</v>
      </c>
      <c r="C20" s="251">
        <v>0</v>
      </c>
      <c r="D20" s="251"/>
      <c r="E20" s="349">
        <f t="shared" si="0"/>
        <v>0</v>
      </c>
      <c r="F20" s="264"/>
    </row>
    <row r="21" spans="1:6" x14ac:dyDescent="0.2">
      <c r="A21" s="270">
        <v>10</v>
      </c>
      <c r="B21" s="252" t="s">
        <v>18</v>
      </c>
      <c r="C21" s="251">
        <v>0</v>
      </c>
      <c r="D21" s="251"/>
      <c r="E21" s="349">
        <f t="shared" si="0"/>
        <v>0</v>
      </c>
      <c r="F21" s="264"/>
    </row>
    <row r="22" spans="1:6" x14ac:dyDescent="0.2">
      <c r="A22" s="270">
        <v>11</v>
      </c>
      <c r="B22" s="252" t="s">
        <v>19</v>
      </c>
      <c r="C22" s="251">
        <v>0</v>
      </c>
      <c r="D22" s="251"/>
      <c r="E22" s="349">
        <f t="shared" si="0"/>
        <v>0</v>
      </c>
      <c r="F22" s="264"/>
    </row>
    <row r="23" spans="1:6" x14ac:dyDescent="0.2">
      <c r="A23" s="270">
        <v>12</v>
      </c>
      <c r="B23" s="252" t="s">
        <v>20</v>
      </c>
      <c r="C23" s="251">
        <v>0</v>
      </c>
      <c r="D23" s="251"/>
      <c r="E23" s="349">
        <f t="shared" si="0"/>
        <v>0</v>
      </c>
      <c r="F23" s="264"/>
    </row>
    <row r="24" spans="1:6" x14ac:dyDescent="0.2">
      <c r="A24" s="270">
        <v>13</v>
      </c>
      <c r="B24" s="252" t="s">
        <v>21</v>
      </c>
      <c r="C24" s="251">
        <v>4</v>
      </c>
      <c r="D24" s="251">
        <v>4</v>
      </c>
      <c r="E24" s="349">
        <f t="shared" si="0"/>
        <v>0</v>
      </c>
      <c r="F24" s="264"/>
    </row>
    <row r="25" spans="1:6" x14ac:dyDescent="0.2">
      <c r="A25" s="270">
        <v>14</v>
      </c>
      <c r="B25" s="252" t="s">
        <v>22</v>
      </c>
      <c r="C25" s="251">
        <v>4</v>
      </c>
      <c r="D25" s="251">
        <v>4</v>
      </c>
      <c r="E25" s="349">
        <f t="shared" si="0"/>
        <v>0</v>
      </c>
      <c r="F25" s="264" t="s">
        <v>333</v>
      </c>
    </row>
    <row r="26" spans="1:6" x14ac:dyDescent="0.2">
      <c r="A26" s="270">
        <v>15</v>
      </c>
      <c r="B26" s="254" t="s">
        <v>23</v>
      </c>
      <c r="C26" s="251">
        <v>0</v>
      </c>
      <c r="D26" s="251"/>
      <c r="E26" s="349">
        <f t="shared" si="0"/>
        <v>0</v>
      </c>
      <c r="F26" s="264"/>
    </row>
    <row r="27" spans="1:6" x14ac:dyDescent="0.2">
      <c r="A27" s="271"/>
      <c r="B27" s="255" t="s">
        <v>24</v>
      </c>
      <c r="C27" s="251"/>
      <c r="D27" s="251"/>
      <c r="E27" s="349">
        <f t="shared" si="0"/>
        <v>0</v>
      </c>
      <c r="F27" s="264"/>
    </row>
    <row r="28" spans="1:6" x14ac:dyDescent="0.2">
      <c r="A28" s="272">
        <v>1</v>
      </c>
      <c r="B28" s="246" t="s">
        <v>25</v>
      </c>
      <c r="C28" s="251">
        <v>1248</v>
      </c>
      <c r="D28" s="251">
        <v>1248</v>
      </c>
      <c r="E28" s="349">
        <f t="shared" si="0"/>
        <v>0</v>
      </c>
      <c r="F28" s="264"/>
    </row>
    <row r="29" spans="1:6" x14ac:dyDescent="0.2">
      <c r="A29" s="272">
        <v>2</v>
      </c>
      <c r="B29" s="246" t="s">
        <v>26</v>
      </c>
      <c r="C29" s="251">
        <v>0</v>
      </c>
      <c r="D29" s="251"/>
      <c r="E29" s="349">
        <f t="shared" si="0"/>
        <v>0</v>
      </c>
      <c r="F29" s="264"/>
    </row>
    <row r="30" spans="1:6" x14ac:dyDescent="0.2">
      <c r="A30" s="272">
        <v>3</v>
      </c>
      <c r="B30" s="246" t="s">
        <v>27</v>
      </c>
      <c r="C30" s="251">
        <v>100</v>
      </c>
      <c r="D30" s="251">
        <v>100</v>
      </c>
      <c r="E30" s="349">
        <f t="shared" si="0"/>
        <v>0</v>
      </c>
      <c r="F30" s="264"/>
    </row>
    <row r="31" spans="1:6" x14ac:dyDescent="0.2">
      <c r="A31" s="272">
        <v>4</v>
      </c>
      <c r="B31" s="246" t="s">
        <v>28</v>
      </c>
      <c r="C31" s="251">
        <v>1427</v>
      </c>
      <c r="D31" s="251">
        <v>1426</v>
      </c>
      <c r="E31" s="349">
        <f t="shared" si="0"/>
        <v>-1</v>
      </c>
      <c r="F31" s="264" t="s">
        <v>334</v>
      </c>
    </row>
    <row r="32" spans="1:6" x14ac:dyDescent="0.2">
      <c r="A32" s="272">
        <v>5</v>
      </c>
      <c r="B32" s="246" t="s">
        <v>29</v>
      </c>
      <c r="C32" s="251">
        <v>401</v>
      </c>
      <c r="D32" s="251">
        <v>401</v>
      </c>
      <c r="E32" s="349">
        <f t="shared" si="0"/>
        <v>0</v>
      </c>
      <c r="F32" s="264"/>
    </row>
    <row r="33" spans="1:6" x14ac:dyDescent="0.2">
      <c r="A33" s="272">
        <v>6</v>
      </c>
      <c r="B33" s="246" t="s">
        <v>30</v>
      </c>
      <c r="C33" s="251">
        <v>2124</v>
      </c>
      <c r="D33" s="251">
        <v>2124</v>
      </c>
      <c r="E33" s="349">
        <f t="shared" si="0"/>
        <v>0</v>
      </c>
      <c r="F33" s="264"/>
    </row>
    <row r="34" spans="1:6" x14ac:dyDescent="0.2">
      <c r="A34" s="272">
        <v>7</v>
      </c>
      <c r="B34" s="246" t="s">
        <v>31</v>
      </c>
      <c r="C34" s="251">
        <v>967</v>
      </c>
      <c r="D34" s="251">
        <v>967</v>
      </c>
      <c r="E34" s="349">
        <f t="shared" si="0"/>
        <v>0</v>
      </c>
      <c r="F34" s="264"/>
    </row>
    <row r="35" spans="1:6" x14ac:dyDescent="0.2">
      <c r="A35" s="272">
        <v>8</v>
      </c>
      <c r="B35" s="246" t="s">
        <v>32</v>
      </c>
      <c r="C35" s="251">
        <v>529</v>
      </c>
      <c r="D35" s="251">
        <v>529</v>
      </c>
      <c r="E35" s="349">
        <f t="shared" si="0"/>
        <v>0</v>
      </c>
      <c r="F35" s="264"/>
    </row>
    <row r="36" spans="1:6" x14ac:dyDescent="0.2">
      <c r="A36" s="272">
        <v>9</v>
      </c>
      <c r="B36" s="246" t="s">
        <v>33</v>
      </c>
      <c r="C36" s="251">
        <v>405</v>
      </c>
      <c r="D36" s="251">
        <v>400</v>
      </c>
      <c r="E36" s="349">
        <f t="shared" si="0"/>
        <v>-5</v>
      </c>
      <c r="F36" s="264"/>
    </row>
    <row r="37" spans="1:6" x14ac:dyDescent="0.2">
      <c r="A37" s="272">
        <v>10</v>
      </c>
      <c r="B37" s="246" t="s">
        <v>34</v>
      </c>
      <c r="C37" s="251">
        <v>-100</v>
      </c>
      <c r="D37" s="251">
        <v>3100</v>
      </c>
      <c r="E37" s="349">
        <f t="shared" si="0"/>
        <v>3200</v>
      </c>
      <c r="F37" s="264" t="s">
        <v>335</v>
      </c>
    </row>
    <row r="38" spans="1:6" x14ac:dyDescent="0.2">
      <c r="A38" s="272">
        <v>11</v>
      </c>
      <c r="B38" s="246" t="s">
        <v>35</v>
      </c>
      <c r="C38" s="251">
        <v>375</v>
      </c>
      <c r="D38" s="251">
        <v>375</v>
      </c>
      <c r="E38" s="349">
        <f t="shared" si="0"/>
        <v>0</v>
      </c>
      <c r="F38" s="264"/>
    </row>
    <row r="39" spans="1:6" x14ac:dyDescent="0.2">
      <c r="A39" s="272">
        <v>12</v>
      </c>
      <c r="B39" s="246" t="s">
        <v>36</v>
      </c>
      <c r="C39" s="251">
        <v>850</v>
      </c>
      <c r="D39" s="251">
        <v>850</v>
      </c>
      <c r="E39" s="349">
        <f t="shared" si="0"/>
        <v>0</v>
      </c>
      <c r="F39" s="264"/>
    </row>
    <row r="40" spans="1:6" x14ac:dyDescent="0.2">
      <c r="A40" s="272">
        <v>13</v>
      </c>
      <c r="B40" s="246" t="s">
        <v>37</v>
      </c>
      <c r="C40" s="251">
        <v>325</v>
      </c>
      <c r="D40" s="251">
        <v>345</v>
      </c>
      <c r="E40" s="349">
        <f t="shared" si="0"/>
        <v>20</v>
      </c>
      <c r="F40" s="264"/>
    </row>
    <row r="41" spans="1:6" x14ac:dyDescent="0.2">
      <c r="A41" s="272">
        <v>14</v>
      </c>
      <c r="B41" s="246" t="s">
        <v>38</v>
      </c>
      <c r="C41" s="251">
        <v>575</v>
      </c>
      <c r="D41" s="251">
        <v>575</v>
      </c>
      <c r="E41" s="349">
        <f t="shared" si="0"/>
        <v>0</v>
      </c>
      <c r="F41" s="264"/>
    </row>
    <row r="42" spans="1:6" x14ac:dyDescent="0.2">
      <c r="A42" s="272">
        <v>15</v>
      </c>
      <c r="B42" s="246" t="s">
        <v>39</v>
      </c>
      <c r="C42" s="251">
        <v>200</v>
      </c>
      <c r="D42" s="251">
        <v>200</v>
      </c>
      <c r="E42" s="349">
        <f t="shared" si="0"/>
        <v>0</v>
      </c>
      <c r="F42" s="264"/>
    </row>
    <row r="43" spans="1:6" x14ac:dyDescent="0.2">
      <c r="A43" s="272">
        <v>16</v>
      </c>
      <c r="B43" s="246" t="s">
        <v>40</v>
      </c>
      <c r="C43" s="251">
        <v>390</v>
      </c>
      <c r="D43" s="251">
        <v>390</v>
      </c>
      <c r="E43" s="349">
        <f t="shared" si="0"/>
        <v>0</v>
      </c>
      <c r="F43" s="264"/>
    </row>
    <row r="44" spans="1:6" x14ac:dyDescent="0.2">
      <c r="A44" s="272">
        <v>17</v>
      </c>
      <c r="B44" s="246" t="s">
        <v>41</v>
      </c>
      <c r="C44" s="251">
        <v>350</v>
      </c>
      <c r="D44" s="251">
        <v>350</v>
      </c>
      <c r="E44" s="349">
        <f t="shared" si="0"/>
        <v>0</v>
      </c>
      <c r="F44" s="264"/>
    </row>
    <row r="45" spans="1:6" x14ac:dyDescent="0.2">
      <c r="A45" s="272">
        <v>18</v>
      </c>
      <c r="B45" s="246" t="s">
        <v>42</v>
      </c>
      <c r="C45" s="251">
        <v>490</v>
      </c>
      <c r="D45" s="251">
        <v>490</v>
      </c>
      <c r="E45" s="349">
        <f t="shared" si="0"/>
        <v>0</v>
      </c>
      <c r="F45" s="264"/>
    </row>
    <row r="46" spans="1:6" x14ac:dyDescent="0.2">
      <c r="A46" s="272">
        <v>19</v>
      </c>
      <c r="B46" s="246" t="s">
        <v>43</v>
      </c>
      <c r="C46" s="251">
        <v>1246</v>
      </c>
      <c r="D46" s="251">
        <v>1245</v>
      </c>
      <c r="E46" s="349">
        <f t="shared" si="0"/>
        <v>-1</v>
      </c>
      <c r="F46" s="264"/>
    </row>
    <row r="47" spans="1:6" x14ac:dyDescent="0.2">
      <c r="A47" s="272">
        <v>20</v>
      </c>
      <c r="B47" s="246" t="s">
        <v>44</v>
      </c>
      <c r="C47" s="251">
        <v>0</v>
      </c>
      <c r="D47" s="251">
        <v>0</v>
      </c>
      <c r="E47" s="349">
        <f t="shared" si="0"/>
        <v>0</v>
      </c>
      <c r="F47" s="264"/>
    </row>
    <row r="48" spans="1:6" x14ac:dyDescent="0.2">
      <c r="A48" s="272">
        <v>21</v>
      </c>
      <c r="B48" s="246" t="s">
        <v>45</v>
      </c>
      <c r="C48" s="251">
        <v>270</v>
      </c>
      <c r="D48" s="251">
        <v>270</v>
      </c>
      <c r="E48" s="349">
        <f t="shared" si="0"/>
        <v>0</v>
      </c>
      <c r="F48" s="264"/>
    </row>
    <row r="49" spans="1:6" x14ac:dyDescent="0.2">
      <c r="A49" s="272">
        <v>22</v>
      </c>
      <c r="B49" s="246" t="s">
        <v>216</v>
      </c>
      <c r="C49" s="251">
        <v>294</v>
      </c>
      <c r="D49" s="251">
        <v>294</v>
      </c>
      <c r="E49" s="349">
        <f t="shared" si="0"/>
        <v>0</v>
      </c>
      <c r="F49" s="264"/>
    </row>
    <row r="50" spans="1:6" x14ac:dyDescent="0.2">
      <c r="A50" s="272">
        <v>23</v>
      </c>
      <c r="B50" s="246" t="s">
        <v>47</v>
      </c>
      <c r="C50" s="251">
        <v>201</v>
      </c>
      <c r="D50" s="251">
        <v>200</v>
      </c>
      <c r="E50" s="349">
        <f t="shared" si="0"/>
        <v>-1</v>
      </c>
      <c r="F50" s="264"/>
    </row>
    <row r="51" spans="1:6" x14ac:dyDescent="0.2">
      <c r="A51" s="272">
        <v>24</v>
      </c>
      <c r="B51" s="246" t="s">
        <v>48</v>
      </c>
      <c r="C51" s="251">
        <v>100</v>
      </c>
      <c r="D51" s="251">
        <v>100</v>
      </c>
      <c r="E51" s="349">
        <f t="shared" si="0"/>
        <v>0</v>
      </c>
      <c r="F51" s="264"/>
    </row>
    <row r="52" spans="1:6" ht="19" x14ac:dyDescent="0.2">
      <c r="A52" s="273">
        <v>25</v>
      </c>
      <c r="B52" s="256" t="s">
        <v>49</v>
      </c>
      <c r="C52" s="251">
        <v>380</v>
      </c>
      <c r="D52" s="251">
        <v>380</v>
      </c>
      <c r="E52" s="349">
        <f t="shared" si="0"/>
        <v>0</v>
      </c>
      <c r="F52" s="264"/>
    </row>
    <row r="53" spans="1:6" x14ac:dyDescent="0.2">
      <c r="A53" s="271"/>
      <c r="B53" s="11"/>
      <c r="C53" s="251"/>
      <c r="D53" s="251"/>
      <c r="E53" s="349">
        <f t="shared" si="0"/>
        <v>0</v>
      </c>
      <c r="F53" s="264"/>
    </row>
    <row r="54" spans="1:6" x14ac:dyDescent="0.2">
      <c r="A54" s="271"/>
      <c r="B54" s="255" t="s">
        <v>50</v>
      </c>
      <c r="C54" s="251"/>
      <c r="D54" s="251"/>
      <c r="E54" s="349">
        <f t="shared" si="0"/>
        <v>0</v>
      </c>
      <c r="F54" s="264"/>
    </row>
    <row r="55" spans="1:6" x14ac:dyDescent="0.2">
      <c r="A55" s="270">
        <v>1</v>
      </c>
      <c r="B55" s="246" t="s">
        <v>51</v>
      </c>
      <c r="C55" s="251">
        <v>0</v>
      </c>
      <c r="D55" s="251">
        <v>0</v>
      </c>
      <c r="E55" s="349">
        <f t="shared" si="0"/>
        <v>0</v>
      </c>
      <c r="F55" s="264"/>
    </row>
    <row r="56" spans="1:6" ht="19" x14ac:dyDescent="0.2">
      <c r="A56" s="274">
        <v>2</v>
      </c>
      <c r="B56" s="246" t="s">
        <v>52</v>
      </c>
      <c r="C56" s="251">
        <v>906</v>
      </c>
      <c r="D56" s="251">
        <v>906</v>
      </c>
      <c r="E56" s="349">
        <f t="shared" si="0"/>
        <v>0</v>
      </c>
      <c r="F56" s="264"/>
    </row>
    <row r="57" spans="1:6" ht="19" x14ac:dyDescent="0.2">
      <c r="A57" s="274">
        <v>3</v>
      </c>
      <c r="B57" s="246" t="s">
        <v>53</v>
      </c>
      <c r="C57" s="251">
        <v>844</v>
      </c>
      <c r="D57" s="251">
        <v>865</v>
      </c>
      <c r="E57" s="349">
        <f t="shared" si="0"/>
        <v>21</v>
      </c>
      <c r="F57" s="264"/>
    </row>
    <row r="58" spans="1:6" ht="19" x14ac:dyDescent="0.2">
      <c r="A58" s="274">
        <v>4</v>
      </c>
      <c r="B58" s="246" t="s">
        <v>54</v>
      </c>
      <c r="C58" s="251">
        <v>571</v>
      </c>
      <c r="D58" s="251">
        <v>571</v>
      </c>
      <c r="E58" s="349">
        <f t="shared" si="0"/>
        <v>0</v>
      </c>
      <c r="F58" s="264"/>
    </row>
    <row r="59" spans="1:6" ht="19" x14ac:dyDescent="0.2">
      <c r="A59" s="274">
        <v>5</v>
      </c>
      <c r="B59" s="246" t="s">
        <v>55</v>
      </c>
      <c r="C59" s="251">
        <v>498</v>
      </c>
      <c r="D59" s="251">
        <v>498</v>
      </c>
      <c r="E59" s="349">
        <f t="shared" si="0"/>
        <v>0</v>
      </c>
      <c r="F59" s="264"/>
    </row>
    <row r="60" spans="1:6" ht="19" x14ac:dyDescent="0.2">
      <c r="A60" s="274">
        <v>6</v>
      </c>
      <c r="B60" s="246" t="s">
        <v>56</v>
      </c>
      <c r="C60" s="251">
        <v>1318</v>
      </c>
      <c r="D60" s="251">
        <v>1318</v>
      </c>
      <c r="E60" s="349">
        <f t="shared" si="0"/>
        <v>0</v>
      </c>
      <c r="F60" s="264"/>
    </row>
    <row r="61" spans="1:6" ht="19" x14ac:dyDescent="0.2">
      <c r="A61" s="274">
        <v>7</v>
      </c>
      <c r="B61" s="246" t="s">
        <v>57</v>
      </c>
      <c r="C61" s="251">
        <v>886</v>
      </c>
      <c r="D61" s="251">
        <v>906</v>
      </c>
      <c r="E61" s="349">
        <f t="shared" si="0"/>
        <v>20</v>
      </c>
      <c r="F61" s="264"/>
    </row>
    <row r="62" spans="1:6" ht="19" x14ac:dyDescent="0.2">
      <c r="A62" s="274">
        <v>8</v>
      </c>
      <c r="B62" s="246" t="s">
        <v>58</v>
      </c>
      <c r="C62" s="251">
        <v>1289</v>
      </c>
      <c r="D62" s="251">
        <v>1289</v>
      </c>
      <c r="E62" s="349">
        <f t="shared" si="0"/>
        <v>0</v>
      </c>
      <c r="F62" s="264"/>
    </row>
    <row r="63" spans="1:6" ht="19" x14ac:dyDescent="0.2">
      <c r="A63" s="274">
        <v>9</v>
      </c>
      <c r="B63" s="246" t="s">
        <v>59</v>
      </c>
      <c r="C63" s="251">
        <v>138</v>
      </c>
      <c r="D63" s="251">
        <v>138</v>
      </c>
      <c r="E63" s="349">
        <f t="shared" si="0"/>
        <v>0</v>
      </c>
      <c r="F63" s="264"/>
    </row>
    <row r="64" spans="1:6" ht="19" x14ac:dyDescent="0.2">
      <c r="A64" s="274"/>
      <c r="B64" s="246"/>
      <c r="C64" s="251"/>
      <c r="D64" s="251"/>
      <c r="E64" s="349">
        <f t="shared" si="0"/>
        <v>0</v>
      </c>
      <c r="F64" s="264"/>
    </row>
    <row r="65" spans="1:6" ht="19" x14ac:dyDescent="0.2">
      <c r="A65" s="274"/>
      <c r="B65" s="257" t="s">
        <v>324</v>
      </c>
      <c r="C65" s="251"/>
      <c r="D65" s="251"/>
      <c r="E65" s="349">
        <f t="shared" si="0"/>
        <v>0</v>
      </c>
      <c r="F65" s="264"/>
    </row>
    <row r="66" spans="1:6" ht="19" x14ac:dyDescent="0.2">
      <c r="A66" s="274">
        <v>1</v>
      </c>
      <c r="B66" s="246" t="s">
        <v>314</v>
      </c>
      <c r="C66" s="251">
        <v>197</v>
      </c>
      <c r="D66" s="251">
        <v>197</v>
      </c>
      <c r="E66" s="349">
        <f t="shared" si="0"/>
        <v>0</v>
      </c>
      <c r="F66" s="264"/>
    </row>
    <row r="67" spans="1:6" ht="19" x14ac:dyDescent="0.2">
      <c r="A67" s="274">
        <v>2</v>
      </c>
      <c r="B67" s="246" t="s">
        <v>315</v>
      </c>
      <c r="C67" s="251">
        <v>205</v>
      </c>
      <c r="D67" s="251">
        <v>205</v>
      </c>
      <c r="E67" s="349">
        <f t="shared" si="0"/>
        <v>0</v>
      </c>
      <c r="F67" s="264"/>
    </row>
    <row r="68" spans="1:6" ht="19" x14ac:dyDescent="0.2">
      <c r="A68" s="274">
        <v>3</v>
      </c>
      <c r="B68" s="246" t="s">
        <v>316</v>
      </c>
      <c r="C68" s="251">
        <v>208</v>
      </c>
      <c r="D68" s="251">
        <v>208</v>
      </c>
      <c r="E68" s="349">
        <f t="shared" si="0"/>
        <v>0</v>
      </c>
      <c r="F68" s="264"/>
    </row>
    <row r="69" spans="1:6" ht="19" x14ac:dyDescent="0.2">
      <c r="A69" s="274">
        <v>4</v>
      </c>
      <c r="B69" s="246" t="s">
        <v>317</v>
      </c>
      <c r="C69" s="251">
        <v>200</v>
      </c>
      <c r="D69" s="251">
        <v>200</v>
      </c>
      <c r="E69" s="349">
        <f t="shared" si="0"/>
        <v>0</v>
      </c>
      <c r="F69" s="264"/>
    </row>
    <row r="70" spans="1:6" ht="19" x14ac:dyDescent="0.2">
      <c r="A70" s="274">
        <v>5</v>
      </c>
      <c r="B70" s="246" t="s">
        <v>318</v>
      </c>
      <c r="C70" s="251">
        <v>204</v>
      </c>
      <c r="D70" s="251">
        <v>204</v>
      </c>
      <c r="E70" s="349">
        <f t="shared" si="0"/>
        <v>0</v>
      </c>
      <c r="F70" s="264"/>
    </row>
    <row r="71" spans="1:6" ht="19" x14ac:dyDescent="0.2">
      <c r="A71" s="274">
        <v>6</v>
      </c>
      <c r="B71" s="246" t="s">
        <v>319</v>
      </c>
      <c r="C71" s="251">
        <v>206</v>
      </c>
      <c r="D71" s="251">
        <v>206</v>
      </c>
      <c r="E71" s="349">
        <f t="shared" si="0"/>
        <v>0</v>
      </c>
      <c r="F71" s="264"/>
    </row>
    <row r="72" spans="1:6" ht="19" x14ac:dyDescent="0.2">
      <c r="A72" s="274">
        <v>7</v>
      </c>
      <c r="B72" s="246" t="s">
        <v>320</v>
      </c>
      <c r="C72" s="251">
        <v>208</v>
      </c>
      <c r="D72" s="251">
        <v>198</v>
      </c>
      <c r="E72" s="349">
        <f t="shared" si="0"/>
        <v>-10</v>
      </c>
      <c r="F72" s="264"/>
    </row>
    <row r="73" spans="1:6" x14ac:dyDescent="0.2">
      <c r="A73" s="271">
        <v>8</v>
      </c>
      <c r="B73" s="246" t="s">
        <v>321</v>
      </c>
      <c r="C73" s="251">
        <v>205</v>
      </c>
      <c r="D73" s="251">
        <v>202</v>
      </c>
      <c r="E73" s="349">
        <f t="shared" si="0"/>
        <v>-3</v>
      </c>
      <c r="F73" s="264"/>
    </row>
    <row r="74" spans="1:6" x14ac:dyDescent="0.2">
      <c r="A74" s="271">
        <v>9</v>
      </c>
      <c r="B74" s="246" t="s">
        <v>322</v>
      </c>
      <c r="C74" s="251">
        <v>201</v>
      </c>
      <c r="D74" s="251">
        <v>201</v>
      </c>
      <c r="E74" s="349">
        <f t="shared" si="0"/>
        <v>0</v>
      </c>
      <c r="F74" s="264"/>
    </row>
    <row r="75" spans="1:6" x14ac:dyDescent="0.2">
      <c r="A75" s="271"/>
      <c r="B75" s="246"/>
      <c r="C75" s="251"/>
      <c r="D75" s="251"/>
      <c r="E75" s="349">
        <f t="shared" si="0"/>
        <v>0</v>
      </c>
      <c r="F75" s="264"/>
    </row>
    <row r="76" spans="1:6" x14ac:dyDescent="0.2">
      <c r="A76" s="271"/>
      <c r="B76" s="257" t="s">
        <v>60</v>
      </c>
      <c r="C76" s="251"/>
      <c r="D76" s="251"/>
      <c r="E76" s="349">
        <f t="shared" si="0"/>
        <v>0</v>
      </c>
      <c r="F76" s="264"/>
    </row>
    <row r="77" spans="1:6" x14ac:dyDescent="0.2">
      <c r="A77" s="270">
        <v>1</v>
      </c>
      <c r="B77" s="246" t="s">
        <v>61</v>
      </c>
      <c r="C77" s="251">
        <v>28</v>
      </c>
      <c r="D77" s="251">
        <v>28</v>
      </c>
      <c r="E77" s="349">
        <f t="shared" ref="E77:E140" si="1">D77-C77</f>
        <v>0</v>
      </c>
      <c r="F77" s="264"/>
    </row>
    <row r="78" spans="1:6" x14ac:dyDescent="0.2">
      <c r="A78" s="270">
        <v>2</v>
      </c>
      <c r="B78" s="246" t="s">
        <v>62</v>
      </c>
      <c r="C78" s="251">
        <v>0</v>
      </c>
      <c r="D78" s="251"/>
      <c r="E78" s="349">
        <f t="shared" si="1"/>
        <v>0</v>
      </c>
      <c r="F78" s="264"/>
    </row>
    <row r="79" spans="1:6" x14ac:dyDescent="0.2">
      <c r="A79" s="270">
        <v>3</v>
      </c>
      <c r="B79" s="246" t="s">
        <v>63</v>
      </c>
      <c r="C79" s="251">
        <v>0</v>
      </c>
      <c r="D79" s="251"/>
      <c r="E79" s="349">
        <f t="shared" si="1"/>
        <v>0</v>
      </c>
      <c r="F79" s="264"/>
    </row>
    <row r="80" spans="1:6" x14ac:dyDescent="0.2">
      <c r="A80" s="270">
        <v>4</v>
      </c>
      <c r="B80" s="246" t="s">
        <v>64</v>
      </c>
      <c r="C80" s="251">
        <v>7</v>
      </c>
      <c r="D80" s="251">
        <v>7</v>
      </c>
      <c r="E80" s="349">
        <f t="shared" si="1"/>
        <v>0</v>
      </c>
      <c r="F80" s="264"/>
    </row>
    <row r="81" spans="1:6" x14ac:dyDescent="0.2">
      <c r="A81" s="270">
        <v>5</v>
      </c>
      <c r="B81" s="246" t="s">
        <v>65</v>
      </c>
      <c r="C81" s="251">
        <v>0</v>
      </c>
      <c r="D81" s="251"/>
      <c r="E81" s="349">
        <f t="shared" si="1"/>
        <v>0</v>
      </c>
      <c r="F81" s="264"/>
    </row>
    <row r="82" spans="1:6" x14ac:dyDescent="0.2">
      <c r="A82" s="270">
        <v>6</v>
      </c>
      <c r="B82" s="246" t="s">
        <v>66</v>
      </c>
      <c r="C82" s="251">
        <v>0</v>
      </c>
      <c r="D82" s="251"/>
      <c r="E82" s="349">
        <f t="shared" si="1"/>
        <v>0</v>
      </c>
      <c r="F82" s="264"/>
    </row>
    <row r="83" spans="1:6" x14ac:dyDescent="0.2">
      <c r="A83" s="270">
        <v>7</v>
      </c>
      <c r="B83" s="246" t="s">
        <v>67</v>
      </c>
      <c r="C83" s="251">
        <v>8</v>
      </c>
      <c r="D83" s="251">
        <v>8</v>
      </c>
      <c r="E83" s="349">
        <f t="shared" si="1"/>
        <v>0</v>
      </c>
      <c r="F83" s="264"/>
    </row>
    <row r="84" spans="1:6" x14ac:dyDescent="0.2">
      <c r="A84" s="270">
        <v>8</v>
      </c>
      <c r="B84" s="246" t="s">
        <v>68</v>
      </c>
      <c r="C84" s="251">
        <v>0</v>
      </c>
      <c r="D84" s="251"/>
      <c r="E84" s="349">
        <f t="shared" si="1"/>
        <v>0</v>
      </c>
      <c r="F84" s="264"/>
    </row>
    <row r="85" spans="1:6" x14ac:dyDescent="0.2">
      <c r="A85" s="270">
        <v>9</v>
      </c>
      <c r="B85" s="246" t="s">
        <v>69</v>
      </c>
      <c r="C85" s="251">
        <v>23</v>
      </c>
      <c r="D85" s="251">
        <v>24</v>
      </c>
      <c r="E85" s="349">
        <f t="shared" si="1"/>
        <v>1</v>
      </c>
      <c r="F85" s="264"/>
    </row>
    <row r="86" spans="1:6" x14ac:dyDescent="0.2">
      <c r="A86" s="270">
        <v>10</v>
      </c>
      <c r="B86" s="246" t="s">
        <v>70</v>
      </c>
      <c r="C86" s="251">
        <v>7</v>
      </c>
      <c r="D86" s="251">
        <v>7</v>
      </c>
      <c r="E86" s="349">
        <f t="shared" si="1"/>
        <v>0</v>
      </c>
      <c r="F86" s="264"/>
    </row>
    <row r="87" spans="1:6" x14ac:dyDescent="0.2">
      <c r="A87" s="270">
        <v>11</v>
      </c>
      <c r="B87" s="246" t="s">
        <v>71</v>
      </c>
      <c r="C87" s="251">
        <v>5</v>
      </c>
      <c r="D87" s="251">
        <v>8</v>
      </c>
      <c r="E87" s="349">
        <f t="shared" si="1"/>
        <v>3</v>
      </c>
      <c r="F87" s="264"/>
    </row>
    <row r="88" spans="1:6" x14ac:dyDescent="0.2">
      <c r="A88" s="270">
        <v>12</v>
      </c>
      <c r="B88" s="246" t="s">
        <v>72</v>
      </c>
      <c r="C88" s="251">
        <v>21</v>
      </c>
      <c r="D88" s="251">
        <v>21</v>
      </c>
      <c r="E88" s="349">
        <f t="shared" si="1"/>
        <v>0</v>
      </c>
      <c r="F88" s="264"/>
    </row>
    <row r="89" spans="1:6" x14ac:dyDescent="0.2">
      <c r="A89" s="270">
        <v>13</v>
      </c>
      <c r="B89" s="246" t="s">
        <v>73</v>
      </c>
      <c r="C89" s="251">
        <v>14</v>
      </c>
      <c r="D89" s="251">
        <v>14</v>
      </c>
      <c r="E89" s="349">
        <f t="shared" si="1"/>
        <v>0</v>
      </c>
      <c r="F89" s="264"/>
    </row>
    <row r="90" spans="1:6" x14ac:dyDescent="0.2">
      <c r="A90" s="270">
        <v>14</v>
      </c>
      <c r="B90" s="246" t="s">
        <v>74</v>
      </c>
      <c r="C90" s="251">
        <v>9</v>
      </c>
      <c r="D90" s="251">
        <v>9</v>
      </c>
      <c r="E90" s="349">
        <f t="shared" si="1"/>
        <v>0</v>
      </c>
      <c r="F90" s="264"/>
    </row>
    <row r="91" spans="1:6" x14ac:dyDescent="0.2">
      <c r="A91" s="270">
        <v>15</v>
      </c>
      <c r="B91" s="246" t="s">
        <v>75</v>
      </c>
      <c r="C91" s="251">
        <v>21</v>
      </c>
      <c r="D91" s="251">
        <v>26</v>
      </c>
      <c r="E91" s="349">
        <f t="shared" si="1"/>
        <v>5</v>
      </c>
      <c r="F91" s="264"/>
    </row>
    <row r="92" spans="1:6" x14ac:dyDescent="0.2">
      <c r="A92" s="270">
        <v>16</v>
      </c>
      <c r="B92" s="246" t="s">
        <v>76</v>
      </c>
      <c r="C92" s="251">
        <v>0</v>
      </c>
      <c r="D92" s="251"/>
      <c r="E92" s="349">
        <f t="shared" si="1"/>
        <v>0</v>
      </c>
      <c r="F92" s="264"/>
    </row>
    <row r="93" spans="1:6" x14ac:dyDescent="0.2">
      <c r="A93" s="270">
        <v>17</v>
      </c>
      <c r="B93" s="246" t="s">
        <v>77</v>
      </c>
      <c r="C93" s="251">
        <v>0</v>
      </c>
      <c r="D93" s="251"/>
      <c r="E93" s="349">
        <f t="shared" si="1"/>
        <v>0</v>
      </c>
      <c r="F93" s="264"/>
    </row>
    <row r="94" spans="1:6" x14ac:dyDescent="0.2">
      <c r="A94" s="270">
        <v>18</v>
      </c>
      <c r="B94" s="246" t="s">
        <v>78</v>
      </c>
      <c r="C94" s="251">
        <v>0</v>
      </c>
      <c r="D94" s="251"/>
      <c r="E94" s="349">
        <f t="shared" si="1"/>
        <v>0</v>
      </c>
      <c r="F94" s="264"/>
    </row>
    <row r="95" spans="1:6" x14ac:dyDescent="0.2">
      <c r="A95" s="270">
        <v>19</v>
      </c>
      <c r="B95" s="246" t="s">
        <v>79</v>
      </c>
      <c r="C95" s="251">
        <v>5</v>
      </c>
      <c r="D95" s="251">
        <v>0</v>
      </c>
      <c r="E95" s="349">
        <f t="shared" si="1"/>
        <v>-5</v>
      </c>
      <c r="F95" s="264"/>
    </row>
    <row r="96" spans="1:6" x14ac:dyDescent="0.2">
      <c r="A96" s="270">
        <v>20</v>
      </c>
      <c r="B96" s="246" t="s">
        <v>80</v>
      </c>
      <c r="C96" s="251">
        <v>0</v>
      </c>
      <c r="D96" s="251"/>
      <c r="E96" s="349">
        <f t="shared" si="1"/>
        <v>0</v>
      </c>
      <c r="F96" s="264"/>
    </row>
    <row r="97" spans="1:6" x14ac:dyDescent="0.2">
      <c r="A97" s="270">
        <v>21</v>
      </c>
      <c r="B97" s="246" t="s">
        <v>302</v>
      </c>
      <c r="C97" s="251">
        <v>4</v>
      </c>
      <c r="D97" s="251">
        <v>4</v>
      </c>
      <c r="E97" s="349">
        <f t="shared" si="1"/>
        <v>0</v>
      </c>
      <c r="F97" s="264"/>
    </row>
    <row r="98" spans="1:6" x14ac:dyDescent="0.2">
      <c r="A98" s="270">
        <v>22</v>
      </c>
      <c r="B98" s="246" t="s">
        <v>81</v>
      </c>
      <c r="C98" s="251">
        <v>0</v>
      </c>
      <c r="D98" s="251"/>
      <c r="E98" s="349">
        <f t="shared" si="1"/>
        <v>0</v>
      </c>
      <c r="F98" s="264"/>
    </row>
    <row r="99" spans="1:6" x14ac:dyDescent="0.2">
      <c r="A99" s="271"/>
      <c r="B99" s="11"/>
      <c r="C99" s="251"/>
      <c r="D99" s="251"/>
      <c r="E99" s="349">
        <f t="shared" si="1"/>
        <v>0</v>
      </c>
      <c r="F99" s="264"/>
    </row>
    <row r="100" spans="1:6" x14ac:dyDescent="0.2">
      <c r="A100" s="271"/>
      <c r="B100" s="255" t="s">
        <v>82</v>
      </c>
      <c r="C100" s="251"/>
      <c r="D100" s="251"/>
      <c r="E100" s="349">
        <f t="shared" si="1"/>
        <v>0</v>
      </c>
      <c r="F100" s="264"/>
    </row>
    <row r="101" spans="1:6" x14ac:dyDescent="0.2">
      <c r="A101" s="270">
        <v>1</v>
      </c>
      <c r="B101" s="246" t="s">
        <v>83</v>
      </c>
      <c r="C101" s="251">
        <v>14</v>
      </c>
      <c r="D101" s="251">
        <v>14</v>
      </c>
      <c r="E101" s="349">
        <f t="shared" si="1"/>
        <v>0</v>
      </c>
      <c r="F101" s="264"/>
    </row>
    <row r="102" spans="1:6" x14ac:dyDescent="0.2">
      <c r="A102" s="270">
        <v>2</v>
      </c>
      <c r="B102" s="246" t="s">
        <v>84</v>
      </c>
      <c r="C102" s="251">
        <v>0</v>
      </c>
      <c r="D102" s="251"/>
      <c r="E102" s="349">
        <f t="shared" si="1"/>
        <v>0</v>
      </c>
      <c r="F102" s="264"/>
    </row>
    <row r="103" spans="1:6" x14ac:dyDescent="0.2">
      <c r="A103" s="270">
        <v>3</v>
      </c>
      <c r="B103" s="246" t="s">
        <v>85</v>
      </c>
      <c r="C103" s="251">
        <v>2</v>
      </c>
      <c r="D103" s="251">
        <v>2</v>
      </c>
      <c r="E103" s="349">
        <f t="shared" si="1"/>
        <v>0</v>
      </c>
      <c r="F103" s="264"/>
    </row>
    <row r="104" spans="1:6" x14ac:dyDescent="0.2">
      <c r="A104" s="270">
        <v>4</v>
      </c>
      <c r="B104" s="246" t="s">
        <v>86</v>
      </c>
      <c r="C104" s="251">
        <v>16</v>
      </c>
      <c r="D104" s="251">
        <v>16</v>
      </c>
      <c r="E104" s="349">
        <f t="shared" si="1"/>
        <v>0</v>
      </c>
      <c r="F104" s="264"/>
    </row>
    <row r="105" spans="1:6" x14ac:dyDescent="0.2">
      <c r="A105" s="270">
        <v>5</v>
      </c>
      <c r="B105" s="246" t="s">
        <v>87</v>
      </c>
      <c r="C105" s="251">
        <v>0</v>
      </c>
      <c r="D105" s="251"/>
      <c r="E105" s="349">
        <f t="shared" si="1"/>
        <v>0</v>
      </c>
      <c r="F105" s="264"/>
    </row>
    <row r="106" spans="1:6" x14ac:dyDescent="0.2">
      <c r="A106" s="270">
        <v>6</v>
      </c>
      <c r="B106" s="246" t="s">
        <v>88</v>
      </c>
      <c r="C106" s="251">
        <v>47</v>
      </c>
      <c r="D106" s="251">
        <v>47</v>
      </c>
      <c r="E106" s="349">
        <f t="shared" si="1"/>
        <v>0</v>
      </c>
      <c r="F106" s="264"/>
    </row>
    <row r="107" spans="1:6" x14ac:dyDescent="0.2">
      <c r="A107" s="270">
        <v>7</v>
      </c>
      <c r="B107" s="246" t="s">
        <v>89</v>
      </c>
      <c r="C107" s="251">
        <v>10</v>
      </c>
      <c r="D107" s="251">
        <v>10</v>
      </c>
      <c r="E107" s="349">
        <f t="shared" si="1"/>
        <v>0</v>
      </c>
      <c r="F107" s="264"/>
    </row>
    <row r="108" spans="1:6" x14ac:dyDescent="0.2">
      <c r="A108" s="270">
        <v>8</v>
      </c>
      <c r="B108" s="246" t="s">
        <v>90</v>
      </c>
      <c r="C108" s="251">
        <v>7</v>
      </c>
      <c r="D108" s="251">
        <v>7</v>
      </c>
      <c r="E108" s="349">
        <f t="shared" si="1"/>
        <v>0</v>
      </c>
      <c r="F108" s="264"/>
    </row>
    <row r="109" spans="1:6" x14ac:dyDescent="0.2">
      <c r="A109" s="270">
        <v>9</v>
      </c>
      <c r="B109" s="246" t="s">
        <v>91</v>
      </c>
      <c r="C109" s="251">
        <v>7</v>
      </c>
      <c r="D109" s="251">
        <v>7</v>
      </c>
      <c r="E109" s="349">
        <f t="shared" si="1"/>
        <v>0</v>
      </c>
      <c r="F109" s="264"/>
    </row>
    <row r="110" spans="1:6" x14ac:dyDescent="0.2">
      <c r="A110" s="270">
        <v>10</v>
      </c>
      <c r="B110" s="246" t="s">
        <v>92</v>
      </c>
      <c r="C110" s="251">
        <v>42</v>
      </c>
      <c r="D110" s="251">
        <v>42</v>
      </c>
      <c r="E110" s="349">
        <f t="shared" si="1"/>
        <v>0</v>
      </c>
      <c r="F110" s="264"/>
    </row>
    <row r="111" spans="1:6" x14ac:dyDescent="0.2">
      <c r="A111" s="270">
        <v>11</v>
      </c>
      <c r="B111" s="246" t="s">
        <v>93</v>
      </c>
      <c r="C111" s="251">
        <v>72</v>
      </c>
      <c r="D111" s="251">
        <v>72</v>
      </c>
      <c r="E111" s="349">
        <f t="shared" si="1"/>
        <v>0</v>
      </c>
      <c r="F111" s="264"/>
    </row>
    <row r="112" spans="1:6" x14ac:dyDescent="0.2">
      <c r="A112" s="270">
        <v>12</v>
      </c>
      <c r="B112" s="246" t="s">
        <v>94</v>
      </c>
      <c r="C112" s="251">
        <v>44</v>
      </c>
      <c r="D112" s="251">
        <v>44</v>
      </c>
      <c r="E112" s="349">
        <f t="shared" si="1"/>
        <v>0</v>
      </c>
      <c r="F112" s="264"/>
    </row>
    <row r="113" spans="1:6" x14ac:dyDescent="0.2">
      <c r="A113" s="270">
        <v>13</v>
      </c>
      <c r="B113" s="246" t="s">
        <v>95</v>
      </c>
      <c r="C113" s="251">
        <v>8</v>
      </c>
      <c r="D113" s="251">
        <v>9</v>
      </c>
      <c r="E113" s="349">
        <f t="shared" si="1"/>
        <v>1</v>
      </c>
      <c r="F113" s="264"/>
    </row>
    <row r="114" spans="1:6" x14ac:dyDescent="0.2">
      <c r="A114" s="270">
        <v>14</v>
      </c>
      <c r="B114" s="246" t="s">
        <v>96</v>
      </c>
      <c r="C114" s="251">
        <v>49</v>
      </c>
      <c r="D114" s="251">
        <v>48</v>
      </c>
      <c r="E114" s="349">
        <f t="shared" si="1"/>
        <v>-1</v>
      </c>
      <c r="F114" s="264"/>
    </row>
    <row r="115" spans="1:6" x14ac:dyDescent="0.2">
      <c r="A115" s="270">
        <v>15</v>
      </c>
      <c r="B115" s="246" t="s">
        <v>97</v>
      </c>
      <c r="C115" s="251">
        <v>0</v>
      </c>
      <c r="D115" s="251"/>
      <c r="E115" s="349">
        <f t="shared" si="1"/>
        <v>0</v>
      </c>
      <c r="F115" s="264"/>
    </row>
    <row r="116" spans="1:6" x14ac:dyDescent="0.2">
      <c r="A116" s="270">
        <v>16</v>
      </c>
      <c r="B116" s="246" t="s">
        <v>98</v>
      </c>
      <c r="C116" s="251">
        <v>0</v>
      </c>
      <c r="D116" s="251"/>
      <c r="E116" s="349">
        <f t="shared" si="1"/>
        <v>0</v>
      </c>
      <c r="F116" s="264"/>
    </row>
    <row r="117" spans="1:6" x14ac:dyDescent="0.2">
      <c r="A117" s="270">
        <v>17</v>
      </c>
      <c r="B117" s="246" t="s">
        <v>99</v>
      </c>
      <c r="C117" s="251">
        <v>110</v>
      </c>
      <c r="D117" s="251">
        <v>110</v>
      </c>
      <c r="E117" s="349">
        <f t="shared" si="1"/>
        <v>0</v>
      </c>
      <c r="F117" s="264"/>
    </row>
    <row r="118" spans="1:6" x14ac:dyDescent="0.2">
      <c r="A118" s="270">
        <v>18</v>
      </c>
      <c r="B118" s="246" t="s">
        <v>100</v>
      </c>
      <c r="C118" s="251">
        <v>0</v>
      </c>
      <c r="D118" s="251"/>
      <c r="E118" s="349">
        <f t="shared" si="1"/>
        <v>0</v>
      </c>
      <c r="F118" s="264"/>
    </row>
    <row r="119" spans="1:6" ht="34" x14ac:dyDescent="0.2">
      <c r="A119" s="270">
        <v>19</v>
      </c>
      <c r="B119" s="143" t="s">
        <v>101</v>
      </c>
      <c r="C119" s="251">
        <v>41</v>
      </c>
      <c r="D119" s="251">
        <v>41</v>
      </c>
      <c r="E119" s="349">
        <f t="shared" si="1"/>
        <v>0</v>
      </c>
      <c r="F119" s="264"/>
    </row>
    <row r="120" spans="1:6" x14ac:dyDescent="0.2">
      <c r="A120" s="270">
        <v>20</v>
      </c>
      <c r="B120" s="246" t="s">
        <v>102</v>
      </c>
      <c r="C120" s="251">
        <v>134</v>
      </c>
      <c r="D120" s="251">
        <v>134</v>
      </c>
      <c r="E120" s="349">
        <f t="shared" si="1"/>
        <v>0</v>
      </c>
      <c r="F120" s="264"/>
    </row>
    <row r="121" spans="1:6" x14ac:dyDescent="0.2">
      <c r="A121" s="270">
        <v>21</v>
      </c>
      <c r="B121" s="246" t="s">
        <v>103</v>
      </c>
      <c r="C121" s="251">
        <v>39</v>
      </c>
      <c r="D121" s="251">
        <v>39</v>
      </c>
      <c r="E121" s="349">
        <f t="shared" si="1"/>
        <v>0</v>
      </c>
      <c r="F121" s="264"/>
    </row>
    <row r="122" spans="1:6" x14ac:dyDescent="0.2">
      <c r="A122" s="270">
        <v>22</v>
      </c>
      <c r="B122" s="246" t="s">
        <v>104</v>
      </c>
      <c r="C122" s="251">
        <v>14</v>
      </c>
      <c r="D122" s="251">
        <v>14</v>
      </c>
      <c r="E122" s="349">
        <f t="shared" si="1"/>
        <v>0</v>
      </c>
      <c r="F122" s="264"/>
    </row>
    <row r="123" spans="1:6" x14ac:dyDescent="0.2">
      <c r="A123" s="270">
        <v>23</v>
      </c>
      <c r="B123" s="246" t="s">
        <v>105</v>
      </c>
      <c r="C123" s="251">
        <v>47</v>
      </c>
      <c r="D123" s="251">
        <v>47</v>
      </c>
      <c r="E123" s="349">
        <f t="shared" si="1"/>
        <v>0</v>
      </c>
      <c r="F123" s="264"/>
    </row>
    <row r="124" spans="1:6" x14ac:dyDescent="0.2">
      <c r="A124" s="270">
        <v>24</v>
      </c>
      <c r="B124" s="246" t="s">
        <v>106</v>
      </c>
      <c r="C124" s="251">
        <v>68</v>
      </c>
      <c r="D124" s="251">
        <v>68</v>
      </c>
      <c r="E124" s="349">
        <f t="shared" si="1"/>
        <v>0</v>
      </c>
      <c r="F124" s="264"/>
    </row>
    <row r="125" spans="1:6" x14ac:dyDescent="0.2">
      <c r="A125" s="270">
        <v>25</v>
      </c>
      <c r="B125" s="246" t="s">
        <v>107</v>
      </c>
      <c r="C125" s="251">
        <v>19</v>
      </c>
      <c r="D125" s="251">
        <v>19</v>
      </c>
      <c r="E125" s="349">
        <f t="shared" si="1"/>
        <v>0</v>
      </c>
      <c r="F125" s="264"/>
    </row>
    <row r="126" spans="1:6" x14ac:dyDescent="0.2">
      <c r="A126" s="270">
        <v>26</v>
      </c>
      <c r="B126" s="246" t="s">
        <v>108</v>
      </c>
      <c r="C126" s="251">
        <v>11</v>
      </c>
      <c r="D126" s="251">
        <v>11</v>
      </c>
      <c r="E126" s="349">
        <f t="shared" si="1"/>
        <v>0</v>
      </c>
      <c r="F126" s="264"/>
    </row>
    <row r="127" spans="1:6" x14ac:dyDescent="0.2">
      <c r="A127" s="270">
        <v>27</v>
      </c>
      <c r="B127" s="246" t="s">
        <v>69</v>
      </c>
      <c r="C127" s="251">
        <v>0</v>
      </c>
      <c r="D127" s="251"/>
      <c r="E127" s="349">
        <f t="shared" si="1"/>
        <v>0</v>
      </c>
      <c r="F127" s="264"/>
    </row>
    <row r="128" spans="1:6" x14ac:dyDescent="0.2">
      <c r="A128" s="270">
        <v>28</v>
      </c>
      <c r="B128" s="246" t="s">
        <v>109</v>
      </c>
      <c r="C128" s="251">
        <v>42</v>
      </c>
      <c r="D128" s="251">
        <v>42</v>
      </c>
      <c r="E128" s="349">
        <f t="shared" si="1"/>
        <v>0</v>
      </c>
      <c r="F128" s="264"/>
    </row>
    <row r="129" spans="1:6" x14ac:dyDescent="0.2">
      <c r="A129" s="270">
        <v>29</v>
      </c>
      <c r="B129" s="246" t="s">
        <v>110</v>
      </c>
      <c r="C129" s="251">
        <v>6</v>
      </c>
      <c r="D129" s="251">
        <v>4</v>
      </c>
      <c r="E129" s="349">
        <f t="shared" si="1"/>
        <v>-2</v>
      </c>
      <c r="F129" s="264"/>
    </row>
    <row r="130" spans="1:6" x14ac:dyDescent="0.2">
      <c r="A130" s="270">
        <v>30</v>
      </c>
      <c r="B130" s="246" t="s">
        <v>111</v>
      </c>
      <c r="C130" s="251">
        <v>11</v>
      </c>
      <c r="D130" s="251">
        <v>11</v>
      </c>
      <c r="E130" s="349">
        <f t="shared" si="1"/>
        <v>0</v>
      </c>
      <c r="F130" s="264"/>
    </row>
    <row r="131" spans="1:6" x14ac:dyDescent="0.2">
      <c r="A131" s="270">
        <v>31</v>
      </c>
      <c r="B131" s="246" t="s">
        <v>112</v>
      </c>
      <c r="C131" s="251">
        <v>8</v>
      </c>
      <c r="D131" s="251">
        <v>8</v>
      </c>
      <c r="E131" s="349">
        <f t="shared" si="1"/>
        <v>0</v>
      </c>
      <c r="F131" s="264"/>
    </row>
    <row r="132" spans="1:6" x14ac:dyDescent="0.2">
      <c r="A132" s="270">
        <v>32</v>
      </c>
      <c r="B132" s="246" t="s">
        <v>113</v>
      </c>
      <c r="C132" s="251">
        <v>33</v>
      </c>
      <c r="D132" s="251">
        <v>33</v>
      </c>
      <c r="E132" s="349">
        <f t="shared" si="1"/>
        <v>0</v>
      </c>
      <c r="F132" s="264"/>
    </row>
    <row r="133" spans="1:6" x14ac:dyDescent="0.2">
      <c r="A133" s="270">
        <v>33</v>
      </c>
      <c r="B133" s="246" t="s">
        <v>114</v>
      </c>
      <c r="C133" s="251">
        <v>45</v>
      </c>
      <c r="D133" s="251">
        <v>45</v>
      </c>
      <c r="E133" s="349">
        <f t="shared" si="1"/>
        <v>0</v>
      </c>
      <c r="F133" s="264"/>
    </row>
    <row r="134" spans="1:6" x14ac:dyDescent="0.2">
      <c r="A134" s="270">
        <v>34</v>
      </c>
      <c r="B134" s="246" t="s">
        <v>115</v>
      </c>
      <c r="C134" s="251">
        <v>0</v>
      </c>
      <c r="D134" s="251"/>
      <c r="E134" s="349">
        <f t="shared" si="1"/>
        <v>0</v>
      </c>
      <c r="F134" s="264"/>
    </row>
    <row r="135" spans="1:6" x14ac:dyDescent="0.2">
      <c r="A135" s="270">
        <v>35</v>
      </c>
      <c r="B135" s="246" t="s">
        <v>116</v>
      </c>
      <c r="C135" s="251">
        <v>21</v>
      </c>
      <c r="D135" s="251">
        <v>21</v>
      </c>
      <c r="E135" s="349">
        <f t="shared" si="1"/>
        <v>0</v>
      </c>
      <c r="F135" s="264"/>
    </row>
    <row r="136" spans="1:6" x14ac:dyDescent="0.2">
      <c r="A136" s="270">
        <v>36</v>
      </c>
      <c r="B136" s="246" t="s">
        <v>117</v>
      </c>
      <c r="C136" s="251">
        <v>15</v>
      </c>
      <c r="D136" s="251">
        <v>15</v>
      </c>
      <c r="E136" s="349">
        <f t="shared" si="1"/>
        <v>0</v>
      </c>
      <c r="F136" s="264"/>
    </row>
    <row r="137" spans="1:6" x14ac:dyDescent="0.2">
      <c r="A137" s="270">
        <v>37</v>
      </c>
      <c r="B137" s="246" t="s">
        <v>118</v>
      </c>
      <c r="C137" s="251">
        <v>0</v>
      </c>
      <c r="D137" s="251"/>
      <c r="E137" s="349">
        <f t="shared" si="1"/>
        <v>0</v>
      </c>
      <c r="F137" s="264"/>
    </row>
    <row r="138" spans="1:6" ht="19" x14ac:dyDescent="0.2">
      <c r="A138" s="274">
        <v>38</v>
      </c>
      <c r="B138" s="256" t="s">
        <v>119</v>
      </c>
      <c r="C138" s="251">
        <v>30</v>
      </c>
      <c r="D138" s="251">
        <v>30</v>
      </c>
      <c r="E138" s="349">
        <f t="shared" si="1"/>
        <v>0</v>
      </c>
      <c r="F138" s="264"/>
    </row>
    <row r="139" spans="1:6" x14ac:dyDescent="0.2">
      <c r="A139" s="271"/>
      <c r="B139" s="11"/>
      <c r="C139" s="251"/>
      <c r="D139" s="251"/>
      <c r="E139" s="349">
        <f t="shared" si="1"/>
        <v>0</v>
      </c>
      <c r="F139" s="264"/>
    </row>
    <row r="140" spans="1:6" x14ac:dyDescent="0.2">
      <c r="A140" s="271"/>
      <c r="B140" s="247" t="s">
        <v>120</v>
      </c>
      <c r="C140" s="251"/>
      <c r="D140" s="251"/>
      <c r="E140" s="349">
        <f t="shared" si="1"/>
        <v>0</v>
      </c>
      <c r="F140" s="264"/>
    </row>
    <row r="141" spans="1:6" x14ac:dyDescent="0.2">
      <c r="A141" s="270">
        <v>1</v>
      </c>
      <c r="B141" s="246" t="s">
        <v>121</v>
      </c>
      <c r="C141" s="251">
        <v>1</v>
      </c>
      <c r="D141" s="251">
        <v>0</v>
      </c>
      <c r="E141" s="349">
        <f t="shared" ref="E141:E204" si="2">D141-C141</f>
        <v>-1</v>
      </c>
      <c r="F141" s="264" t="s">
        <v>336</v>
      </c>
    </row>
    <row r="142" spans="1:6" x14ac:dyDescent="0.2">
      <c r="A142" s="270">
        <v>2</v>
      </c>
      <c r="B142" s="246" t="s">
        <v>123</v>
      </c>
      <c r="C142" s="251">
        <v>8</v>
      </c>
      <c r="D142" s="251">
        <v>7</v>
      </c>
      <c r="E142" s="349">
        <f t="shared" si="2"/>
        <v>-1</v>
      </c>
      <c r="F142" s="264" t="s">
        <v>336</v>
      </c>
    </row>
    <row r="143" spans="1:6" x14ac:dyDescent="0.2">
      <c r="A143" s="271"/>
      <c r="B143" s="11"/>
      <c r="C143" s="251"/>
      <c r="D143" s="251"/>
      <c r="E143" s="349">
        <f t="shared" si="2"/>
        <v>0</v>
      </c>
      <c r="F143" s="264"/>
    </row>
    <row r="144" spans="1:6" x14ac:dyDescent="0.2">
      <c r="A144" s="271"/>
      <c r="B144" s="250" t="s">
        <v>124</v>
      </c>
      <c r="C144" s="251"/>
      <c r="D144" s="251"/>
      <c r="E144" s="349">
        <f t="shared" si="2"/>
        <v>0</v>
      </c>
      <c r="F144" s="264"/>
    </row>
    <row r="145" spans="1:6" x14ac:dyDescent="0.2">
      <c r="A145" s="275">
        <v>1</v>
      </c>
      <c r="B145" s="258" t="s">
        <v>125</v>
      </c>
      <c r="C145" s="251">
        <v>10</v>
      </c>
      <c r="D145" s="251">
        <v>10</v>
      </c>
      <c r="E145" s="349">
        <f t="shared" si="2"/>
        <v>0</v>
      </c>
      <c r="F145" s="264"/>
    </row>
    <row r="146" spans="1:6" x14ac:dyDescent="0.2">
      <c r="A146" s="275">
        <v>2</v>
      </c>
      <c r="B146" s="258" t="s">
        <v>126</v>
      </c>
      <c r="C146" s="251">
        <v>26</v>
      </c>
      <c r="D146" s="251">
        <v>21</v>
      </c>
      <c r="E146" s="349">
        <f t="shared" si="2"/>
        <v>-5</v>
      </c>
      <c r="F146" s="264" t="s">
        <v>337</v>
      </c>
    </row>
    <row r="147" spans="1:6" x14ac:dyDescent="0.2">
      <c r="A147" s="275">
        <v>3</v>
      </c>
      <c r="B147" s="258" t="s">
        <v>127</v>
      </c>
      <c r="C147" s="251">
        <v>8</v>
      </c>
      <c r="D147" s="251">
        <v>8</v>
      </c>
      <c r="E147" s="349">
        <f t="shared" si="2"/>
        <v>0</v>
      </c>
      <c r="F147" s="264"/>
    </row>
    <row r="148" spans="1:6" x14ac:dyDescent="0.2">
      <c r="A148" s="275">
        <v>4</v>
      </c>
      <c r="B148" s="258" t="s">
        <v>128</v>
      </c>
      <c r="C148" s="251">
        <v>18</v>
      </c>
      <c r="D148" s="251">
        <v>18</v>
      </c>
      <c r="E148" s="349">
        <f t="shared" si="2"/>
        <v>0</v>
      </c>
      <c r="F148" s="264"/>
    </row>
    <row r="149" spans="1:6" x14ac:dyDescent="0.2">
      <c r="A149" s="275">
        <v>5</v>
      </c>
      <c r="B149" s="258" t="s">
        <v>129</v>
      </c>
      <c r="C149" s="251">
        <v>6</v>
      </c>
      <c r="D149" s="251">
        <v>6</v>
      </c>
      <c r="E149" s="349">
        <f t="shared" si="2"/>
        <v>0</v>
      </c>
      <c r="F149" s="264"/>
    </row>
    <row r="150" spans="1:6" x14ac:dyDescent="0.2">
      <c r="A150" s="275">
        <v>6</v>
      </c>
      <c r="B150" s="258" t="s">
        <v>130</v>
      </c>
      <c r="C150" s="251">
        <v>14</v>
      </c>
      <c r="D150" s="251">
        <v>14</v>
      </c>
      <c r="E150" s="349">
        <f t="shared" si="2"/>
        <v>0</v>
      </c>
      <c r="F150" s="264"/>
    </row>
    <row r="151" spans="1:6" x14ac:dyDescent="0.2">
      <c r="A151" s="275">
        <v>7</v>
      </c>
      <c r="B151" s="258" t="s">
        <v>131</v>
      </c>
      <c r="C151" s="251">
        <v>36</v>
      </c>
      <c r="D151" s="251">
        <v>36</v>
      </c>
      <c r="E151" s="349">
        <f t="shared" si="2"/>
        <v>0</v>
      </c>
      <c r="F151" s="264"/>
    </row>
    <row r="152" spans="1:6" x14ac:dyDescent="0.2">
      <c r="A152" s="275">
        <v>8</v>
      </c>
      <c r="B152" s="258" t="s">
        <v>132</v>
      </c>
      <c r="C152" s="251">
        <v>51</v>
      </c>
      <c r="D152" s="251">
        <v>51</v>
      </c>
      <c r="E152" s="349">
        <f t="shared" si="2"/>
        <v>0</v>
      </c>
      <c r="F152" s="264"/>
    </row>
    <row r="153" spans="1:6" x14ac:dyDescent="0.2">
      <c r="A153" s="275">
        <v>9</v>
      </c>
      <c r="B153" s="258" t="s">
        <v>133</v>
      </c>
      <c r="C153" s="251">
        <v>59</v>
      </c>
      <c r="D153" s="251">
        <v>59</v>
      </c>
      <c r="E153" s="349">
        <f t="shared" si="2"/>
        <v>0</v>
      </c>
      <c r="F153" s="264"/>
    </row>
    <row r="154" spans="1:6" x14ac:dyDescent="0.2">
      <c r="A154" s="275">
        <v>10</v>
      </c>
      <c r="B154" s="258" t="s">
        <v>134</v>
      </c>
      <c r="C154" s="251">
        <v>50</v>
      </c>
      <c r="D154" s="251">
        <v>50</v>
      </c>
      <c r="E154" s="349">
        <f t="shared" si="2"/>
        <v>0</v>
      </c>
      <c r="F154" s="264"/>
    </row>
    <row r="155" spans="1:6" x14ac:dyDescent="0.2">
      <c r="A155" s="275">
        <v>11</v>
      </c>
      <c r="B155" s="258" t="s">
        <v>135</v>
      </c>
      <c r="C155" s="251">
        <v>12</v>
      </c>
      <c r="D155" s="251">
        <v>12</v>
      </c>
      <c r="E155" s="349">
        <f t="shared" si="2"/>
        <v>0</v>
      </c>
      <c r="F155" s="264"/>
    </row>
    <row r="156" spans="1:6" x14ac:dyDescent="0.2">
      <c r="A156" s="275">
        <v>12</v>
      </c>
      <c r="B156" s="258" t="s">
        <v>136</v>
      </c>
      <c r="C156" s="251">
        <v>10</v>
      </c>
      <c r="D156" s="251">
        <v>10</v>
      </c>
      <c r="E156" s="349">
        <f t="shared" si="2"/>
        <v>0</v>
      </c>
      <c r="F156" s="264"/>
    </row>
    <row r="157" spans="1:6" x14ac:dyDescent="0.2">
      <c r="A157" s="275">
        <v>13</v>
      </c>
      <c r="B157" s="258" t="s">
        <v>137</v>
      </c>
      <c r="C157" s="251">
        <v>14</v>
      </c>
      <c r="D157" s="251">
        <v>14</v>
      </c>
      <c r="E157" s="349">
        <f t="shared" si="2"/>
        <v>0</v>
      </c>
      <c r="F157" s="264"/>
    </row>
    <row r="158" spans="1:6" x14ac:dyDescent="0.2">
      <c r="A158" s="275">
        <v>14</v>
      </c>
      <c r="B158" s="258" t="s">
        <v>138</v>
      </c>
      <c r="C158" s="251">
        <v>12</v>
      </c>
      <c r="D158" s="251">
        <v>12</v>
      </c>
      <c r="E158" s="349">
        <f t="shared" si="2"/>
        <v>0</v>
      </c>
      <c r="F158" s="264"/>
    </row>
    <row r="159" spans="1:6" x14ac:dyDescent="0.2">
      <c r="A159" s="275">
        <v>15</v>
      </c>
      <c r="B159" s="258" t="s">
        <v>139</v>
      </c>
      <c r="C159" s="251">
        <v>16</v>
      </c>
      <c r="D159" s="251">
        <v>16</v>
      </c>
      <c r="E159" s="349">
        <f t="shared" si="2"/>
        <v>0</v>
      </c>
      <c r="F159" s="264"/>
    </row>
    <row r="160" spans="1:6" x14ac:dyDescent="0.2">
      <c r="A160" s="275">
        <v>16</v>
      </c>
      <c r="B160" s="258" t="s">
        <v>140</v>
      </c>
      <c r="C160" s="251">
        <v>9</v>
      </c>
      <c r="D160" s="251">
        <v>9</v>
      </c>
      <c r="E160" s="349">
        <f t="shared" si="2"/>
        <v>0</v>
      </c>
      <c r="F160" s="264"/>
    </row>
    <row r="161" spans="1:6" x14ac:dyDescent="0.2">
      <c r="A161" s="275">
        <v>17</v>
      </c>
      <c r="B161" s="258" t="s">
        <v>141</v>
      </c>
      <c r="C161" s="251">
        <v>8</v>
      </c>
      <c r="D161" s="251">
        <v>8</v>
      </c>
      <c r="E161" s="349">
        <f t="shared" si="2"/>
        <v>0</v>
      </c>
      <c r="F161" s="264"/>
    </row>
    <row r="162" spans="1:6" x14ac:dyDescent="0.2">
      <c r="A162" s="275">
        <v>18</v>
      </c>
      <c r="B162" s="258" t="s">
        <v>142</v>
      </c>
      <c r="C162" s="251">
        <v>3</v>
      </c>
      <c r="D162" s="251">
        <v>3</v>
      </c>
      <c r="E162" s="349">
        <f t="shared" si="2"/>
        <v>0</v>
      </c>
      <c r="F162" s="264"/>
    </row>
    <row r="163" spans="1:6" x14ac:dyDescent="0.2">
      <c r="A163" s="275">
        <v>19</v>
      </c>
      <c r="B163" s="258" t="s">
        <v>143</v>
      </c>
      <c r="C163" s="251">
        <v>6</v>
      </c>
      <c r="D163" s="251">
        <v>6</v>
      </c>
      <c r="E163" s="349">
        <f t="shared" si="2"/>
        <v>0</v>
      </c>
      <c r="F163" s="264"/>
    </row>
    <row r="164" spans="1:6" x14ac:dyDescent="0.2">
      <c r="A164" s="275">
        <v>20</v>
      </c>
      <c r="B164" s="258" t="s">
        <v>144</v>
      </c>
      <c r="C164" s="251">
        <v>4</v>
      </c>
      <c r="D164" s="251">
        <v>4</v>
      </c>
      <c r="E164" s="349">
        <f t="shared" si="2"/>
        <v>0</v>
      </c>
      <c r="F164" s="264"/>
    </row>
    <row r="165" spans="1:6" x14ac:dyDescent="0.2">
      <c r="A165" s="275">
        <v>21</v>
      </c>
      <c r="B165" s="258" t="s">
        <v>145</v>
      </c>
      <c r="C165" s="251">
        <v>5</v>
      </c>
      <c r="D165" s="251">
        <v>5</v>
      </c>
      <c r="E165" s="349">
        <f t="shared" si="2"/>
        <v>0</v>
      </c>
      <c r="F165" s="264"/>
    </row>
    <row r="166" spans="1:6" x14ac:dyDescent="0.2">
      <c r="A166" s="275">
        <v>22</v>
      </c>
      <c r="B166" s="258" t="s">
        <v>146</v>
      </c>
      <c r="C166" s="251">
        <v>2</v>
      </c>
      <c r="D166" s="251">
        <v>0</v>
      </c>
      <c r="E166" s="349">
        <f t="shared" si="2"/>
        <v>-2</v>
      </c>
      <c r="F166" s="264" t="s">
        <v>337</v>
      </c>
    </row>
    <row r="167" spans="1:6" x14ac:dyDescent="0.2">
      <c r="A167" s="275">
        <v>23</v>
      </c>
      <c r="B167" s="258" t="s">
        <v>147</v>
      </c>
      <c r="C167" s="251">
        <v>6</v>
      </c>
      <c r="D167" s="251">
        <v>4</v>
      </c>
      <c r="E167" s="349">
        <f t="shared" si="2"/>
        <v>-2</v>
      </c>
      <c r="F167" s="264" t="s">
        <v>337</v>
      </c>
    </row>
    <row r="168" spans="1:6" x14ac:dyDescent="0.2">
      <c r="A168" s="275">
        <v>24</v>
      </c>
      <c r="B168" s="258" t="s">
        <v>148</v>
      </c>
      <c r="C168" s="251">
        <v>2</v>
      </c>
      <c r="D168" s="251">
        <v>0</v>
      </c>
      <c r="E168" s="349">
        <f t="shared" si="2"/>
        <v>-2</v>
      </c>
      <c r="F168" s="264" t="s">
        <v>337</v>
      </c>
    </row>
    <row r="169" spans="1:6" x14ac:dyDescent="0.2">
      <c r="A169" s="275">
        <v>25</v>
      </c>
      <c r="B169" s="258" t="s">
        <v>149</v>
      </c>
      <c r="C169" s="251">
        <v>4</v>
      </c>
      <c r="D169" s="251">
        <v>2</v>
      </c>
      <c r="E169" s="349">
        <f t="shared" si="2"/>
        <v>-2</v>
      </c>
      <c r="F169" s="264" t="s">
        <v>337</v>
      </c>
    </row>
    <row r="170" spans="1:6" x14ac:dyDescent="0.2">
      <c r="A170" s="275">
        <v>26</v>
      </c>
      <c r="B170" s="258" t="s">
        <v>150</v>
      </c>
      <c r="C170" s="251">
        <v>1</v>
      </c>
      <c r="D170" s="251">
        <v>1</v>
      </c>
      <c r="E170" s="349">
        <f t="shared" si="2"/>
        <v>0</v>
      </c>
      <c r="F170" s="264"/>
    </row>
    <row r="171" spans="1:6" x14ac:dyDescent="0.2">
      <c r="A171" s="275">
        <v>27</v>
      </c>
      <c r="B171" s="258" t="s">
        <v>151</v>
      </c>
      <c r="C171" s="251">
        <v>4</v>
      </c>
      <c r="D171" s="251">
        <v>2</v>
      </c>
      <c r="E171" s="349">
        <f t="shared" si="2"/>
        <v>-2</v>
      </c>
      <c r="F171" s="264" t="s">
        <v>337</v>
      </c>
    </row>
    <row r="172" spans="1:6" x14ac:dyDescent="0.2">
      <c r="A172" s="275">
        <v>28</v>
      </c>
      <c r="B172" s="258" t="s">
        <v>152</v>
      </c>
      <c r="C172" s="251">
        <v>3</v>
      </c>
      <c r="D172" s="251">
        <v>3</v>
      </c>
      <c r="E172" s="349">
        <f t="shared" si="2"/>
        <v>0</v>
      </c>
      <c r="F172" s="264"/>
    </row>
    <row r="173" spans="1:6" x14ac:dyDescent="0.2">
      <c r="A173" s="275">
        <v>29</v>
      </c>
      <c r="B173" s="258" t="s">
        <v>153</v>
      </c>
      <c r="C173" s="251">
        <v>3</v>
      </c>
      <c r="D173" s="251">
        <v>3</v>
      </c>
      <c r="E173" s="349">
        <f t="shared" si="2"/>
        <v>0</v>
      </c>
      <c r="F173" s="264"/>
    </row>
    <row r="174" spans="1:6" x14ac:dyDescent="0.2">
      <c r="A174" s="275">
        <v>30</v>
      </c>
      <c r="B174" s="258" t="s">
        <v>154</v>
      </c>
      <c r="C174" s="251">
        <v>2</v>
      </c>
      <c r="D174" s="251">
        <v>2</v>
      </c>
      <c r="E174" s="349">
        <f t="shared" si="2"/>
        <v>0</v>
      </c>
      <c r="F174" s="264"/>
    </row>
    <row r="175" spans="1:6" x14ac:dyDescent="0.2">
      <c r="A175" s="275">
        <v>31</v>
      </c>
      <c r="B175" s="258" t="s">
        <v>155</v>
      </c>
      <c r="C175" s="251">
        <v>2</v>
      </c>
      <c r="D175" s="251">
        <v>2</v>
      </c>
      <c r="E175" s="349">
        <f t="shared" si="2"/>
        <v>0</v>
      </c>
      <c r="F175" s="264"/>
    </row>
    <row r="176" spans="1:6" x14ac:dyDescent="0.2">
      <c r="A176" s="275">
        <v>32</v>
      </c>
      <c r="B176" s="258" t="s">
        <v>156</v>
      </c>
      <c r="C176" s="251">
        <v>2</v>
      </c>
      <c r="D176" s="251">
        <v>2</v>
      </c>
      <c r="E176" s="349">
        <f t="shared" si="2"/>
        <v>0</v>
      </c>
      <c r="F176" s="264"/>
    </row>
    <row r="177" spans="1:6" x14ac:dyDescent="0.2">
      <c r="A177" s="275">
        <v>33</v>
      </c>
      <c r="B177" s="258" t="s">
        <v>157</v>
      </c>
      <c r="C177" s="251">
        <v>2</v>
      </c>
      <c r="D177" s="251">
        <v>2</v>
      </c>
      <c r="E177" s="349">
        <f t="shared" si="2"/>
        <v>0</v>
      </c>
      <c r="F177" s="264"/>
    </row>
    <row r="178" spans="1:6" x14ac:dyDescent="0.2">
      <c r="A178" s="275">
        <v>34</v>
      </c>
      <c r="B178" s="259" t="s">
        <v>303</v>
      </c>
      <c r="C178" s="251">
        <v>2</v>
      </c>
      <c r="D178" s="251">
        <v>2</v>
      </c>
      <c r="E178" s="349">
        <f t="shared" si="2"/>
        <v>0</v>
      </c>
      <c r="F178" s="264"/>
    </row>
    <row r="179" spans="1:6" x14ac:dyDescent="0.2">
      <c r="A179" s="275">
        <v>35</v>
      </c>
      <c r="B179" s="259" t="s">
        <v>304</v>
      </c>
      <c r="C179" s="251">
        <v>2</v>
      </c>
      <c r="D179" s="251">
        <v>2</v>
      </c>
      <c r="E179" s="349">
        <f t="shared" si="2"/>
        <v>0</v>
      </c>
      <c r="F179" s="264"/>
    </row>
    <row r="180" spans="1:6" x14ac:dyDescent="0.2">
      <c r="A180" s="275">
        <v>36</v>
      </c>
      <c r="B180" s="259" t="s">
        <v>305</v>
      </c>
      <c r="C180" s="251">
        <v>2</v>
      </c>
      <c r="D180" s="251">
        <v>2</v>
      </c>
      <c r="E180" s="349">
        <f t="shared" si="2"/>
        <v>0</v>
      </c>
      <c r="F180" s="264"/>
    </row>
    <row r="181" spans="1:6" x14ac:dyDescent="0.2">
      <c r="A181" s="275">
        <v>37</v>
      </c>
      <c r="B181" s="259" t="s">
        <v>306</v>
      </c>
      <c r="C181" s="251">
        <v>2</v>
      </c>
      <c r="D181" s="251">
        <v>2</v>
      </c>
      <c r="E181" s="349">
        <f t="shared" si="2"/>
        <v>0</v>
      </c>
      <c r="F181" s="264"/>
    </row>
    <row r="182" spans="1:6" x14ac:dyDescent="0.2">
      <c r="A182" s="275">
        <v>38</v>
      </c>
      <c r="B182" s="259" t="s">
        <v>307</v>
      </c>
      <c r="C182" s="251">
        <v>2</v>
      </c>
      <c r="D182" s="251">
        <v>2</v>
      </c>
      <c r="E182" s="349">
        <f t="shared" si="2"/>
        <v>0</v>
      </c>
      <c r="F182" s="264"/>
    </row>
    <row r="183" spans="1:6" x14ac:dyDescent="0.2">
      <c r="A183" s="275">
        <v>39</v>
      </c>
      <c r="B183" s="259" t="s">
        <v>308</v>
      </c>
      <c r="C183" s="251">
        <v>2</v>
      </c>
      <c r="D183" s="251">
        <v>2</v>
      </c>
      <c r="E183" s="349">
        <f t="shared" si="2"/>
        <v>0</v>
      </c>
      <c r="F183" s="264"/>
    </row>
    <row r="184" spans="1:6" x14ac:dyDescent="0.2">
      <c r="A184" s="275">
        <v>40</v>
      </c>
      <c r="B184" s="259" t="s">
        <v>309</v>
      </c>
      <c r="C184" s="251">
        <v>2</v>
      </c>
      <c r="D184" s="251">
        <v>2</v>
      </c>
      <c r="E184" s="349">
        <f t="shared" si="2"/>
        <v>0</v>
      </c>
      <c r="F184" s="264"/>
    </row>
    <row r="185" spans="1:6" x14ac:dyDescent="0.2">
      <c r="A185" s="275">
        <v>41</v>
      </c>
      <c r="B185" s="259" t="s">
        <v>310</v>
      </c>
      <c r="C185" s="251">
        <v>2</v>
      </c>
      <c r="D185" s="251">
        <v>2</v>
      </c>
      <c r="E185" s="349">
        <f t="shared" si="2"/>
        <v>0</v>
      </c>
      <c r="F185" s="264"/>
    </row>
    <row r="186" spans="1:6" x14ac:dyDescent="0.2">
      <c r="A186" s="275">
        <v>42</v>
      </c>
      <c r="B186" s="259" t="s">
        <v>311</v>
      </c>
      <c r="C186" s="251">
        <v>9</v>
      </c>
      <c r="D186" s="251">
        <v>9</v>
      </c>
      <c r="E186" s="349">
        <f t="shared" si="2"/>
        <v>0</v>
      </c>
      <c r="F186" s="264"/>
    </row>
    <row r="187" spans="1:6" x14ac:dyDescent="0.2">
      <c r="A187" s="275">
        <v>34</v>
      </c>
      <c r="B187" s="258" t="s">
        <v>158</v>
      </c>
      <c r="C187" s="251">
        <v>0</v>
      </c>
      <c r="D187" s="251"/>
      <c r="E187" s="349">
        <f t="shared" si="2"/>
        <v>0</v>
      </c>
      <c r="F187" s="264"/>
    </row>
    <row r="188" spans="1:6" x14ac:dyDescent="0.2">
      <c r="A188" s="275">
        <v>35</v>
      </c>
      <c r="B188" s="258" t="s">
        <v>159</v>
      </c>
      <c r="C188" s="251">
        <v>0</v>
      </c>
      <c r="D188" s="251"/>
      <c r="E188" s="349">
        <f t="shared" si="2"/>
        <v>0</v>
      </c>
      <c r="F188" s="264"/>
    </row>
    <row r="189" spans="1:6" x14ac:dyDescent="0.2">
      <c r="A189" s="275">
        <v>36</v>
      </c>
      <c r="B189" s="258" t="s">
        <v>160</v>
      </c>
      <c r="C189" s="251">
        <v>0</v>
      </c>
      <c r="D189" s="251"/>
      <c r="E189" s="349">
        <f t="shared" si="2"/>
        <v>0</v>
      </c>
      <c r="F189" s="264"/>
    </row>
    <row r="190" spans="1:6" x14ac:dyDescent="0.2">
      <c r="A190" s="275">
        <v>37</v>
      </c>
      <c r="B190" s="258" t="s">
        <v>161</v>
      </c>
      <c r="C190" s="251">
        <v>0</v>
      </c>
      <c r="D190" s="251"/>
      <c r="E190" s="349">
        <f t="shared" si="2"/>
        <v>0</v>
      </c>
      <c r="F190" s="264"/>
    </row>
    <row r="191" spans="1:6" x14ac:dyDescent="0.2">
      <c r="A191" s="275">
        <v>38</v>
      </c>
      <c r="B191" s="258" t="s">
        <v>162</v>
      </c>
      <c r="C191" s="251">
        <v>0</v>
      </c>
      <c r="D191" s="251"/>
      <c r="E191" s="349">
        <f t="shared" si="2"/>
        <v>0</v>
      </c>
      <c r="F191" s="264"/>
    </row>
    <row r="192" spans="1:6" x14ac:dyDescent="0.2">
      <c r="A192" s="275">
        <v>39</v>
      </c>
      <c r="B192" s="258" t="s">
        <v>163</v>
      </c>
      <c r="C192" s="251">
        <v>0</v>
      </c>
      <c r="D192" s="251"/>
      <c r="E192" s="349">
        <f t="shared" si="2"/>
        <v>0</v>
      </c>
      <c r="F192" s="264"/>
    </row>
    <row r="193" spans="1:6" x14ac:dyDescent="0.2">
      <c r="A193" s="275">
        <v>40</v>
      </c>
      <c r="B193" s="258" t="s">
        <v>164</v>
      </c>
      <c r="C193" s="251">
        <v>3</v>
      </c>
      <c r="D193" s="251">
        <v>3</v>
      </c>
      <c r="E193" s="349">
        <f t="shared" si="2"/>
        <v>0</v>
      </c>
      <c r="F193" s="264"/>
    </row>
    <row r="194" spans="1:6" x14ac:dyDescent="0.2">
      <c r="A194" s="275">
        <v>41</v>
      </c>
      <c r="B194" s="258" t="s">
        <v>165</v>
      </c>
      <c r="C194" s="251">
        <v>0</v>
      </c>
      <c r="D194" s="251"/>
      <c r="E194" s="349">
        <f t="shared" si="2"/>
        <v>0</v>
      </c>
      <c r="F194" s="264"/>
    </row>
    <row r="195" spans="1:6" x14ac:dyDescent="0.2">
      <c r="A195" s="275">
        <v>42</v>
      </c>
      <c r="B195" s="258" t="s">
        <v>166</v>
      </c>
      <c r="C195" s="251">
        <v>4</v>
      </c>
      <c r="D195" s="251">
        <v>4</v>
      </c>
      <c r="E195" s="349">
        <f t="shared" si="2"/>
        <v>0</v>
      </c>
      <c r="F195" s="264"/>
    </row>
    <row r="196" spans="1:6" x14ac:dyDescent="0.2">
      <c r="A196" s="275">
        <v>43</v>
      </c>
      <c r="B196" s="258" t="s">
        <v>167</v>
      </c>
      <c r="C196" s="251">
        <v>3</v>
      </c>
      <c r="D196" s="251">
        <v>3</v>
      </c>
      <c r="E196" s="349">
        <f t="shared" si="2"/>
        <v>0</v>
      </c>
      <c r="F196" s="264"/>
    </row>
    <row r="197" spans="1:6" x14ac:dyDescent="0.2">
      <c r="A197" s="275">
        <v>44</v>
      </c>
      <c r="B197" s="258" t="s">
        <v>168</v>
      </c>
      <c r="C197" s="251">
        <v>0</v>
      </c>
      <c r="D197" s="251"/>
      <c r="E197" s="349">
        <f t="shared" si="2"/>
        <v>0</v>
      </c>
      <c r="F197" s="264"/>
    </row>
    <row r="198" spans="1:6" x14ac:dyDescent="0.2">
      <c r="A198" s="275">
        <v>45</v>
      </c>
      <c r="B198" s="258" t="s">
        <v>169</v>
      </c>
      <c r="C198" s="251">
        <v>0</v>
      </c>
      <c r="D198" s="251"/>
      <c r="E198" s="349">
        <f t="shared" si="2"/>
        <v>0</v>
      </c>
      <c r="F198" s="264"/>
    </row>
    <row r="199" spans="1:6" x14ac:dyDescent="0.2">
      <c r="A199" s="275">
        <v>46</v>
      </c>
      <c r="B199" s="258" t="s">
        <v>170</v>
      </c>
      <c r="C199" s="251">
        <v>2</v>
      </c>
      <c r="D199" s="251">
        <v>2</v>
      </c>
      <c r="E199" s="349">
        <f t="shared" si="2"/>
        <v>0</v>
      </c>
      <c r="F199" s="264"/>
    </row>
    <row r="200" spans="1:6" x14ac:dyDescent="0.2">
      <c r="A200" s="275">
        <v>47</v>
      </c>
      <c r="B200" s="258" t="s">
        <v>171</v>
      </c>
      <c r="C200" s="251">
        <v>0</v>
      </c>
      <c r="D200" s="251"/>
      <c r="E200" s="349">
        <f t="shared" si="2"/>
        <v>0</v>
      </c>
      <c r="F200" s="264"/>
    </row>
    <row r="201" spans="1:6" x14ac:dyDescent="0.2">
      <c r="A201" s="275">
        <v>48</v>
      </c>
      <c r="B201" s="258" t="s">
        <v>172</v>
      </c>
      <c r="C201" s="251">
        <v>0</v>
      </c>
      <c r="D201" s="251"/>
      <c r="E201" s="349">
        <f t="shared" si="2"/>
        <v>0</v>
      </c>
      <c r="F201" s="264"/>
    </row>
    <row r="202" spans="1:6" x14ac:dyDescent="0.2">
      <c r="A202" s="275">
        <v>49</v>
      </c>
      <c r="B202" s="258" t="s">
        <v>173</v>
      </c>
      <c r="C202" s="251">
        <v>2</v>
      </c>
      <c r="D202" s="251">
        <v>2</v>
      </c>
      <c r="E202" s="349">
        <f t="shared" si="2"/>
        <v>0</v>
      </c>
      <c r="F202" s="264"/>
    </row>
    <row r="203" spans="1:6" x14ac:dyDescent="0.2">
      <c r="A203" s="275">
        <v>50</v>
      </c>
      <c r="B203" s="258" t="s">
        <v>174</v>
      </c>
      <c r="C203" s="251">
        <v>3</v>
      </c>
      <c r="D203" s="251">
        <v>3</v>
      </c>
      <c r="E203" s="349">
        <f t="shared" si="2"/>
        <v>0</v>
      </c>
      <c r="F203" s="264"/>
    </row>
    <row r="204" spans="1:6" x14ac:dyDescent="0.2">
      <c r="A204" s="275">
        <v>51</v>
      </c>
      <c r="B204" s="258" t="s">
        <v>175</v>
      </c>
      <c r="C204" s="251">
        <v>0</v>
      </c>
      <c r="D204" s="251"/>
      <c r="E204" s="349">
        <f t="shared" si="2"/>
        <v>0</v>
      </c>
      <c r="F204" s="264"/>
    </row>
    <row r="205" spans="1:6" x14ac:dyDescent="0.2">
      <c r="A205" s="275">
        <v>52</v>
      </c>
      <c r="B205" s="258" t="s">
        <v>176</v>
      </c>
      <c r="C205" s="251">
        <v>3</v>
      </c>
      <c r="D205" s="251">
        <v>3</v>
      </c>
      <c r="E205" s="349">
        <f t="shared" ref="E205:E231" si="3">D205-C205</f>
        <v>0</v>
      </c>
      <c r="F205" s="264"/>
    </row>
    <row r="206" spans="1:6" x14ac:dyDescent="0.2">
      <c r="A206" s="275">
        <v>53</v>
      </c>
      <c r="B206" s="258" t="s">
        <v>177</v>
      </c>
      <c r="C206" s="251">
        <v>2</v>
      </c>
      <c r="D206" s="251">
        <v>2</v>
      </c>
      <c r="E206" s="349">
        <f t="shared" si="3"/>
        <v>0</v>
      </c>
      <c r="F206" s="264"/>
    </row>
    <row r="207" spans="1:6" x14ac:dyDescent="0.2">
      <c r="A207" s="275">
        <v>54</v>
      </c>
      <c r="B207" s="258" t="s">
        <v>178</v>
      </c>
      <c r="C207" s="251">
        <v>0</v>
      </c>
      <c r="D207" s="251"/>
      <c r="E207" s="349">
        <f t="shared" si="3"/>
        <v>0</v>
      </c>
      <c r="F207" s="264"/>
    </row>
    <row r="208" spans="1:6" x14ac:dyDescent="0.2">
      <c r="A208" s="275">
        <v>55</v>
      </c>
      <c r="B208" s="258" t="s">
        <v>179</v>
      </c>
      <c r="C208" s="251">
        <v>5</v>
      </c>
      <c r="D208" s="251">
        <f>C208</f>
        <v>5</v>
      </c>
      <c r="E208" s="349">
        <f t="shared" si="3"/>
        <v>0</v>
      </c>
      <c r="F208" s="264"/>
    </row>
    <row r="209" spans="1:6" x14ac:dyDescent="0.2">
      <c r="A209" s="275">
        <v>56</v>
      </c>
      <c r="B209" s="258" t="s">
        <v>180</v>
      </c>
      <c r="C209" s="251">
        <v>2</v>
      </c>
      <c r="D209" s="251">
        <f t="shared" ref="D209:D228" si="4">C209</f>
        <v>2</v>
      </c>
      <c r="E209" s="349">
        <f t="shared" si="3"/>
        <v>0</v>
      </c>
      <c r="F209" s="264"/>
    </row>
    <row r="210" spans="1:6" x14ac:dyDescent="0.2">
      <c r="A210" s="275">
        <v>57</v>
      </c>
      <c r="B210" s="258" t="s">
        <v>181</v>
      </c>
      <c r="C210" s="251">
        <v>3</v>
      </c>
      <c r="D210" s="251">
        <f t="shared" si="4"/>
        <v>3</v>
      </c>
      <c r="E210" s="349">
        <f t="shared" si="3"/>
        <v>0</v>
      </c>
      <c r="F210" s="264"/>
    </row>
    <row r="211" spans="1:6" x14ac:dyDescent="0.2">
      <c r="A211" s="275">
        <v>58</v>
      </c>
      <c r="B211" s="258" t="s">
        <v>182</v>
      </c>
      <c r="C211" s="251">
        <v>1</v>
      </c>
      <c r="D211" s="251">
        <f t="shared" si="4"/>
        <v>1</v>
      </c>
      <c r="E211" s="349">
        <f t="shared" si="3"/>
        <v>0</v>
      </c>
      <c r="F211" s="264"/>
    </row>
    <row r="212" spans="1:6" x14ac:dyDescent="0.2">
      <c r="A212" s="275">
        <v>59</v>
      </c>
      <c r="B212" s="258" t="s">
        <v>183</v>
      </c>
      <c r="C212" s="251">
        <v>2</v>
      </c>
      <c r="D212" s="251">
        <f t="shared" si="4"/>
        <v>2</v>
      </c>
      <c r="E212" s="349">
        <f t="shared" si="3"/>
        <v>0</v>
      </c>
      <c r="F212" s="264"/>
    </row>
    <row r="213" spans="1:6" x14ac:dyDescent="0.2">
      <c r="A213" s="275">
        <v>60</v>
      </c>
      <c r="B213" s="258" t="s">
        <v>184</v>
      </c>
      <c r="C213" s="251">
        <v>1</v>
      </c>
      <c r="D213" s="251">
        <f t="shared" si="4"/>
        <v>1</v>
      </c>
      <c r="E213" s="349">
        <f t="shared" si="3"/>
        <v>0</v>
      </c>
      <c r="F213" s="264"/>
    </row>
    <row r="214" spans="1:6" x14ac:dyDescent="0.2">
      <c r="A214" s="275">
        <v>61</v>
      </c>
      <c r="B214" s="258" t="s">
        <v>185</v>
      </c>
      <c r="C214" s="251">
        <v>2</v>
      </c>
      <c r="D214" s="251">
        <f t="shared" si="4"/>
        <v>2</v>
      </c>
      <c r="E214" s="349">
        <f t="shared" si="3"/>
        <v>0</v>
      </c>
      <c r="F214" s="264"/>
    </row>
    <row r="215" spans="1:6" x14ac:dyDescent="0.2">
      <c r="A215" s="275">
        <v>62</v>
      </c>
      <c r="B215" s="258" t="s">
        <v>186</v>
      </c>
      <c r="C215" s="251">
        <v>2</v>
      </c>
      <c r="D215" s="251">
        <f t="shared" si="4"/>
        <v>2</v>
      </c>
      <c r="E215" s="349">
        <f t="shared" si="3"/>
        <v>0</v>
      </c>
      <c r="F215" s="264"/>
    </row>
    <row r="216" spans="1:6" x14ac:dyDescent="0.2">
      <c r="A216" s="275">
        <v>63</v>
      </c>
      <c r="B216" s="258" t="s">
        <v>187</v>
      </c>
      <c r="C216" s="251">
        <v>3</v>
      </c>
      <c r="D216" s="251">
        <f t="shared" si="4"/>
        <v>3</v>
      </c>
      <c r="E216" s="349">
        <f t="shared" si="3"/>
        <v>0</v>
      </c>
      <c r="F216" s="264"/>
    </row>
    <row r="217" spans="1:6" x14ac:dyDescent="0.2">
      <c r="A217" s="275">
        <v>64</v>
      </c>
      <c r="B217" s="258" t="s">
        <v>188</v>
      </c>
      <c r="C217" s="251">
        <v>2</v>
      </c>
      <c r="D217" s="251">
        <f t="shared" si="4"/>
        <v>2</v>
      </c>
      <c r="E217" s="349">
        <f t="shared" si="3"/>
        <v>0</v>
      </c>
      <c r="F217" s="264"/>
    </row>
    <row r="218" spans="1:6" x14ac:dyDescent="0.2">
      <c r="A218" s="275">
        <v>65</v>
      </c>
      <c r="B218" s="258" t="s">
        <v>189</v>
      </c>
      <c r="C218" s="251">
        <v>1</v>
      </c>
      <c r="D218" s="251">
        <f t="shared" si="4"/>
        <v>1</v>
      </c>
      <c r="E218" s="349">
        <f t="shared" si="3"/>
        <v>0</v>
      </c>
      <c r="F218" s="264"/>
    </row>
    <row r="219" spans="1:6" x14ac:dyDescent="0.2">
      <c r="A219" s="275">
        <v>66</v>
      </c>
      <c r="B219" s="258" t="s">
        <v>190</v>
      </c>
      <c r="C219" s="251">
        <v>2</v>
      </c>
      <c r="D219" s="251">
        <f t="shared" si="4"/>
        <v>2</v>
      </c>
      <c r="E219" s="349">
        <f t="shared" si="3"/>
        <v>0</v>
      </c>
      <c r="F219" s="264"/>
    </row>
    <row r="220" spans="1:6" x14ac:dyDescent="0.2">
      <c r="A220" s="275">
        <v>67</v>
      </c>
      <c r="B220" s="258" t="s">
        <v>191</v>
      </c>
      <c r="C220" s="251">
        <v>1</v>
      </c>
      <c r="D220" s="251">
        <f t="shared" si="4"/>
        <v>1</v>
      </c>
      <c r="E220" s="349">
        <f t="shared" si="3"/>
        <v>0</v>
      </c>
      <c r="F220" s="264"/>
    </row>
    <row r="221" spans="1:6" x14ac:dyDescent="0.2">
      <c r="A221" s="275">
        <v>68</v>
      </c>
      <c r="B221" s="258" t="s">
        <v>192</v>
      </c>
      <c r="C221" s="251">
        <v>0</v>
      </c>
      <c r="D221" s="251">
        <f t="shared" si="4"/>
        <v>0</v>
      </c>
      <c r="E221" s="349">
        <f t="shared" si="3"/>
        <v>0</v>
      </c>
      <c r="F221" s="264"/>
    </row>
    <row r="222" spans="1:6" x14ac:dyDescent="0.2">
      <c r="A222" s="275">
        <v>69</v>
      </c>
      <c r="B222" s="258" t="s">
        <v>193</v>
      </c>
      <c r="C222" s="251">
        <v>1</v>
      </c>
      <c r="D222" s="251">
        <f t="shared" si="4"/>
        <v>1</v>
      </c>
      <c r="E222" s="349">
        <f t="shared" si="3"/>
        <v>0</v>
      </c>
      <c r="F222" s="264"/>
    </row>
    <row r="223" spans="1:6" x14ac:dyDescent="0.2">
      <c r="A223" s="275">
        <v>70</v>
      </c>
      <c r="B223" s="258" t="s">
        <v>194</v>
      </c>
      <c r="C223" s="251">
        <v>2</v>
      </c>
      <c r="D223" s="251">
        <f t="shared" si="4"/>
        <v>2</v>
      </c>
      <c r="E223" s="349">
        <f t="shared" si="3"/>
        <v>0</v>
      </c>
      <c r="F223" s="264"/>
    </row>
    <row r="224" spans="1:6" x14ac:dyDescent="0.2">
      <c r="A224" s="275">
        <v>71</v>
      </c>
      <c r="B224" s="258" t="s">
        <v>195</v>
      </c>
      <c r="C224" s="251">
        <v>1</v>
      </c>
      <c r="D224" s="251">
        <f t="shared" si="4"/>
        <v>1</v>
      </c>
      <c r="E224" s="349">
        <f t="shared" si="3"/>
        <v>0</v>
      </c>
      <c r="F224" s="264"/>
    </row>
    <row r="225" spans="1:6" x14ac:dyDescent="0.2">
      <c r="A225" s="275">
        <v>72</v>
      </c>
      <c r="B225" s="258" t="s">
        <v>196</v>
      </c>
      <c r="C225" s="251">
        <v>2</v>
      </c>
      <c r="D225" s="251">
        <f t="shared" si="4"/>
        <v>2</v>
      </c>
      <c r="E225" s="349">
        <f t="shared" si="3"/>
        <v>0</v>
      </c>
      <c r="F225" s="264"/>
    </row>
    <row r="226" spans="1:6" x14ac:dyDescent="0.2">
      <c r="A226" s="275">
        <v>73</v>
      </c>
      <c r="B226" s="258" t="s">
        <v>197</v>
      </c>
      <c r="C226" s="251">
        <v>3</v>
      </c>
      <c r="D226" s="251">
        <f t="shared" si="4"/>
        <v>3</v>
      </c>
      <c r="E226" s="349">
        <f t="shared" si="3"/>
        <v>0</v>
      </c>
      <c r="F226" s="264"/>
    </row>
    <row r="227" spans="1:6" x14ac:dyDescent="0.2">
      <c r="A227" s="275">
        <v>74</v>
      </c>
      <c r="B227" s="258" t="s">
        <v>198</v>
      </c>
      <c r="C227" s="251">
        <v>2</v>
      </c>
      <c r="D227" s="251">
        <f t="shared" si="4"/>
        <v>2</v>
      </c>
      <c r="E227" s="349">
        <f t="shared" si="3"/>
        <v>0</v>
      </c>
      <c r="F227" s="264"/>
    </row>
    <row r="228" spans="1:6" x14ac:dyDescent="0.2">
      <c r="A228" s="275">
        <v>75</v>
      </c>
      <c r="B228" s="258" t="s">
        <v>199</v>
      </c>
      <c r="C228" s="251">
        <v>4</v>
      </c>
      <c r="D228" s="251">
        <f t="shared" si="4"/>
        <v>4</v>
      </c>
      <c r="E228" s="349">
        <f t="shared" si="3"/>
        <v>0</v>
      </c>
      <c r="F228" s="264"/>
    </row>
    <row r="229" spans="1:6" x14ac:dyDescent="0.2">
      <c r="A229" s="275">
        <v>76</v>
      </c>
      <c r="B229" s="258" t="s">
        <v>200</v>
      </c>
      <c r="C229" s="251">
        <v>18</v>
      </c>
      <c r="D229" s="251">
        <v>18</v>
      </c>
      <c r="E229" s="349">
        <f t="shared" si="3"/>
        <v>0</v>
      </c>
      <c r="F229" s="264"/>
    </row>
    <row r="230" spans="1:6" x14ac:dyDescent="0.2">
      <c r="A230" s="275">
        <v>77</v>
      </c>
      <c r="B230" s="258" t="s">
        <v>239</v>
      </c>
      <c r="C230" s="251">
        <v>39</v>
      </c>
      <c r="D230" s="251">
        <v>39</v>
      </c>
      <c r="E230" s="349">
        <f t="shared" si="3"/>
        <v>0</v>
      </c>
      <c r="F230" s="264"/>
    </row>
    <row r="231" spans="1:6" ht="17" thickBot="1" x14ac:dyDescent="0.25">
      <c r="A231" s="276">
        <v>78</v>
      </c>
      <c r="B231" s="277" t="s">
        <v>229</v>
      </c>
      <c r="C231" s="278">
        <v>8</v>
      </c>
      <c r="D231" s="278">
        <v>8</v>
      </c>
      <c r="E231" s="349">
        <f t="shared" si="3"/>
        <v>0</v>
      </c>
      <c r="F231" s="267"/>
    </row>
    <row r="232" spans="1:6" x14ac:dyDescent="0.2">
      <c r="A232"/>
      <c r="B232" s="248"/>
    </row>
    <row r="233" spans="1:6" x14ac:dyDescent="0.2">
      <c r="A233"/>
      <c r="B233" s="248"/>
    </row>
    <row r="234" spans="1:6" x14ac:dyDescent="0.2">
      <c r="A234"/>
      <c r="B234" s="248"/>
    </row>
    <row r="235" spans="1:6" x14ac:dyDescent="0.2">
      <c r="A235"/>
      <c r="B235" s="248"/>
    </row>
    <row r="236" spans="1:6" x14ac:dyDescent="0.2">
      <c r="A236"/>
      <c r="B236" s="248"/>
    </row>
    <row r="237" spans="1:6" x14ac:dyDescent="0.2">
      <c r="A237"/>
      <c r="B237" s="248"/>
    </row>
    <row r="238" spans="1:6" x14ac:dyDescent="0.2">
      <c r="A238"/>
      <c r="B238" s="248"/>
    </row>
    <row r="239" spans="1:6" x14ac:dyDescent="0.2">
      <c r="A239"/>
      <c r="B239" s="248"/>
    </row>
    <row r="240" spans="1:6" x14ac:dyDescent="0.2">
      <c r="A240"/>
      <c r="B240" s="248"/>
    </row>
    <row r="241" spans="1:2" x14ac:dyDescent="0.2">
      <c r="A241"/>
      <c r="B241" s="248"/>
    </row>
    <row r="242" spans="1:2" x14ac:dyDescent="0.2">
      <c r="A242"/>
      <c r="B242" s="248"/>
    </row>
    <row r="243" spans="1:2" x14ac:dyDescent="0.2">
      <c r="A243"/>
      <c r="B243" s="248"/>
    </row>
    <row r="244" spans="1:2" x14ac:dyDescent="0.2">
      <c r="A244"/>
      <c r="B244" s="248"/>
    </row>
    <row r="245" spans="1:2" x14ac:dyDescent="0.2">
      <c r="A245"/>
      <c r="B245" s="248"/>
    </row>
    <row r="246" spans="1:2" x14ac:dyDescent="0.2">
      <c r="A246"/>
      <c r="B246" s="248"/>
    </row>
    <row r="247" spans="1:2" x14ac:dyDescent="0.2">
      <c r="A247"/>
      <c r="B247" s="248"/>
    </row>
    <row r="248" spans="1:2" x14ac:dyDescent="0.2">
      <c r="A248"/>
      <c r="B248" s="248"/>
    </row>
    <row r="249" spans="1:2" x14ac:dyDescent="0.2">
      <c r="A249"/>
      <c r="B249" s="248"/>
    </row>
    <row r="250" spans="1:2" x14ac:dyDescent="0.2">
      <c r="A250"/>
      <c r="B250" s="248"/>
    </row>
    <row r="251" spans="1:2" x14ac:dyDescent="0.2">
      <c r="A251"/>
      <c r="B251" s="248"/>
    </row>
    <row r="252" spans="1:2" x14ac:dyDescent="0.2">
      <c r="A252"/>
      <c r="B252" s="248"/>
    </row>
    <row r="253" spans="1:2" x14ac:dyDescent="0.2">
      <c r="A253"/>
      <c r="B253" s="248"/>
    </row>
    <row r="254" spans="1:2" x14ac:dyDescent="0.2">
      <c r="A254"/>
      <c r="B254" s="248"/>
    </row>
    <row r="255" spans="1:2" x14ac:dyDescent="0.2">
      <c r="A255"/>
      <c r="B255" s="248"/>
    </row>
    <row r="256" spans="1:2" x14ac:dyDescent="0.2">
      <c r="A256"/>
      <c r="B256" s="248"/>
    </row>
    <row r="257" spans="1:2" x14ac:dyDescent="0.2">
      <c r="A257"/>
      <c r="B257" s="248"/>
    </row>
    <row r="258" spans="1:2" x14ac:dyDescent="0.2">
      <c r="A258"/>
      <c r="B258" s="248"/>
    </row>
    <row r="259" spans="1:2" x14ac:dyDescent="0.2">
      <c r="A259"/>
      <c r="B259" s="248"/>
    </row>
    <row r="260" spans="1:2" x14ac:dyDescent="0.2">
      <c r="A260"/>
      <c r="B260" s="248"/>
    </row>
    <row r="261" spans="1:2" x14ac:dyDescent="0.2">
      <c r="A261"/>
      <c r="B261" s="248"/>
    </row>
    <row r="262" spans="1:2" x14ac:dyDescent="0.2">
      <c r="A262"/>
      <c r="B262" s="248"/>
    </row>
    <row r="263" spans="1:2" x14ac:dyDescent="0.2">
      <c r="A263"/>
      <c r="B263" s="248"/>
    </row>
    <row r="264" spans="1:2" x14ac:dyDescent="0.2">
      <c r="A264"/>
      <c r="B264" s="248"/>
    </row>
    <row r="265" spans="1:2" x14ac:dyDescent="0.2">
      <c r="A265"/>
      <c r="B265" s="248"/>
    </row>
    <row r="266" spans="1:2" x14ac:dyDescent="0.2">
      <c r="A266"/>
      <c r="B266" s="248"/>
    </row>
    <row r="267" spans="1:2" x14ac:dyDescent="0.2">
      <c r="A267"/>
      <c r="B267" s="248"/>
    </row>
    <row r="268" spans="1:2" x14ac:dyDescent="0.2">
      <c r="A268"/>
      <c r="B268" s="248"/>
    </row>
    <row r="269" spans="1:2" x14ac:dyDescent="0.2">
      <c r="A269"/>
      <c r="B269" s="248"/>
    </row>
    <row r="270" spans="1:2" x14ac:dyDescent="0.2">
      <c r="A270"/>
      <c r="B270" s="248"/>
    </row>
    <row r="271" spans="1:2" x14ac:dyDescent="0.2">
      <c r="A271"/>
      <c r="B271" s="248"/>
    </row>
    <row r="272" spans="1:2" x14ac:dyDescent="0.2">
      <c r="A272"/>
      <c r="B272" s="248"/>
    </row>
    <row r="273" spans="1:2" x14ac:dyDescent="0.2">
      <c r="A273"/>
      <c r="B273" s="248"/>
    </row>
    <row r="274" spans="1:2" x14ac:dyDescent="0.2">
      <c r="A274"/>
      <c r="B274" s="248"/>
    </row>
    <row r="275" spans="1:2" x14ac:dyDescent="0.2">
      <c r="A275"/>
      <c r="B275" s="248"/>
    </row>
    <row r="276" spans="1:2" x14ac:dyDescent="0.2">
      <c r="A276"/>
      <c r="B276" s="248"/>
    </row>
    <row r="277" spans="1:2" x14ac:dyDescent="0.2">
      <c r="A277"/>
      <c r="B277" s="248"/>
    </row>
    <row r="278" spans="1:2" x14ac:dyDescent="0.2">
      <c r="A278"/>
      <c r="B278" s="248"/>
    </row>
    <row r="279" spans="1:2" x14ac:dyDescent="0.2">
      <c r="A279"/>
      <c r="B279" s="248"/>
    </row>
    <row r="280" spans="1:2" x14ac:dyDescent="0.2">
      <c r="A280"/>
      <c r="B280" s="248"/>
    </row>
    <row r="281" spans="1:2" x14ac:dyDescent="0.2">
      <c r="A281"/>
      <c r="B281" s="248"/>
    </row>
    <row r="282" spans="1:2" x14ac:dyDescent="0.2">
      <c r="A282"/>
      <c r="B282" s="248"/>
    </row>
    <row r="283" spans="1:2" x14ac:dyDescent="0.2">
      <c r="A283"/>
      <c r="B283" s="248"/>
    </row>
    <row r="284" spans="1:2" x14ac:dyDescent="0.2">
      <c r="A284"/>
      <c r="B284" s="248"/>
    </row>
    <row r="285" spans="1:2" x14ac:dyDescent="0.2">
      <c r="A285"/>
      <c r="B285" s="248"/>
    </row>
    <row r="286" spans="1:2" x14ac:dyDescent="0.2">
      <c r="A286"/>
      <c r="B286" s="248"/>
    </row>
    <row r="287" spans="1:2" x14ac:dyDescent="0.2">
      <c r="A287"/>
      <c r="B287" s="248"/>
    </row>
    <row r="288" spans="1:2" x14ac:dyDescent="0.2">
      <c r="A288"/>
      <c r="B288" s="248"/>
    </row>
    <row r="289" spans="1:2" x14ac:dyDescent="0.2">
      <c r="A289"/>
      <c r="B289" s="248"/>
    </row>
    <row r="290" spans="1:2" x14ac:dyDescent="0.2">
      <c r="A290"/>
      <c r="B290" s="248"/>
    </row>
    <row r="291" spans="1:2" x14ac:dyDescent="0.2">
      <c r="A291"/>
      <c r="B291" s="248"/>
    </row>
    <row r="292" spans="1:2" x14ac:dyDescent="0.2">
      <c r="A292"/>
      <c r="B292" s="248"/>
    </row>
    <row r="293" spans="1:2" x14ac:dyDescent="0.2">
      <c r="A293"/>
      <c r="B293" s="248"/>
    </row>
    <row r="294" spans="1:2" x14ac:dyDescent="0.2">
      <c r="A294"/>
      <c r="B294" s="248"/>
    </row>
    <row r="295" spans="1:2" x14ac:dyDescent="0.2">
      <c r="A295"/>
      <c r="B295" s="248"/>
    </row>
    <row r="296" spans="1:2" x14ac:dyDescent="0.2">
      <c r="A296"/>
      <c r="B296" s="248"/>
    </row>
    <row r="297" spans="1:2" x14ac:dyDescent="0.2">
      <c r="A297"/>
      <c r="B297" s="248"/>
    </row>
    <row r="298" spans="1:2" x14ac:dyDescent="0.2">
      <c r="A298"/>
      <c r="B298" s="248"/>
    </row>
    <row r="299" spans="1:2" x14ac:dyDescent="0.2">
      <c r="A299"/>
      <c r="B299" s="248"/>
    </row>
    <row r="300" spans="1:2" x14ac:dyDescent="0.2">
      <c r="A300"/>
      <c r="B300" s="248"/>
    </row>
    <row r="301" spans="1:2" x14ac:dyDescent="0.2">
      <c r="A301"/>
      <c r="B301" s="248"/>
    </row>
    <row r="302" spans="1:2" x14ac:dyDescent="0.2">
      <c r="A302"/>
      <c r="B302" s="248"/>
    </row>
    <row r="303" spans="1:2" x14ac:dyDescent="0.2">
      <c r="A303"/>
      <c r="B303" s="248"/>
    </row>
    <row r="304" spans="1:2" x14ac:dyDescent="0.2">
      <c r="A304"/>
      <c r="B304" s="248"/>
    </row>
    <row r="305" spans="1:2" x14ac:dyDescent="0.2">
      <c r="A305"/>
      <c r="B305" s="248"/>
    </row>
    <row r="306" spans="1:2" x14ac:dyDescent="0.2">
      <c r="A306"/>
      <c r="B306" s="248"/>
    </row>
    <row r="307" spans="1:2" x14ac:dyDescent="0.2">
      <c r="A307"/>
      <c r="B307" s="248"/>
    </row>
    <row r="308" spans="1:2" x14ac:dyDescent="0.2">
      <c r="A308"/>
      <c r="B308" s="248"/>
    </row>
    <row r="309" spans="1:2" x14ac:dyDescent="0.2">
      <c r="A309"/>
      <c r="B309" s="248"/>
    </row>
    <row r="310" spans="1:2" x14ac:dyDescent="0.2">
      <c r="A310"/>
      <c r="B310" s="248"/>
    </row>
    <row r="311" spans="1:2" x14ac:dyDescent="0.2">
      <c r="A311"/>
      <c r="B311" s="248"/>
    </row>
    <row r="312" spans="1:2" x14ac:dyDescent="0.2">
      <c r="A312"/>
      <c r="B312" s="248"/>
    </row>
    <row r="313" spans="1:2" x14ac:dyDescent="0.2">
      <c r="A313"/>
      <c r="B313" s="248"/>
    </row>
    <row r="314" spans="1:2" x14ac:dyDescent="0.2">
      <c r="A314"/>
      <c r="B314" s="248"/>
    </row>
    <row r="315" spans="1:2" x14ac:dyDescent="0.2">
      <c r="A315"/>
      <c r="B315" s="248"/>
    </row>
    <row r="316" spans="1:2" x14ac:dyDescent="0.2">
      <c r="A316"/>
      <c r="B316" s="248"/>
    </row>
    <row r="317" spans="1:2" x14ac:dyDescent="0.2">
      <c r="A317"/>
      <c r="B317" s="248"/>
    </row>
    <row r="318" spans="1:2" x14ac:dyDescent="0.2">
      <c r="A318"/>
      <c r="B318" s="248"/>
    </row>
    <row r="319" spans="1:2" x14ac:dyDescent="0.2">
      <c r="A319"/>
      <c r="B319" s="248"/>
    </row>
    <row r="320" spans="1:2" x14ac:dyDescent="0.2">
      <c r="A320"/>
      <c r="B320" s="248"/>
    </row>
    <row r="321" spans="1:2" x14ac:dyDescent="0.2">
      <c r="A321"/>
      <c r="B321" s="248"/>
    </row>
    <row r="322" spans="1:2" x14ac:dyDescent="0.2">
      <c r="A322"/>
      <c r="B322" s="248"/>
    </row>
    <row r="323" spans="1:2" x14ac:dyDescent="0.2">
      <c r="A323"/>
      <c r="B323" s="248"/>
    </row>
    <row r="324" spans="1:2" x14ac:dyDescent="0.2">
      <c r="A324"/>
      <c r="B324" s="248"/>
    </row>
    <row r="325" spans="1:2" x14ac:dyDescent="0.2">
      <c r="A325"/>
      <c r="B325" s="248"/>
    </row>
    <row r="326" spans="1:2" x14ac:dyDescent="0.2">
      <c r="A326"/>
      <c r="B326" s="248"/>
    </row>
    <row r="327" spans="1:2" x14ac:dyDescent="0.2">
      <c r="A327"/>
      <c r="B327" s="248"/>
    </row>
    <row r="328" spans="1:2" x14ac:dyDescent="0.2">
      <c r="A328"/>
      <c r="B328" s="248"/>
    </row>
    <row r="329" spans="1:2" x14ac:dyDescent="0.2">
      <c r="A329"/>
      <c r="B329" s="248"/>
    </row>
    <row r="330" spans="1:2" x14ac:dyDescent="0.2">
      <c r="A330"/>
      <c r="B330" s="248"/>
    </row>
    <row r="331" spans="1:2" x14ac:dyDescent="0.2">
      <c r="A331"/>
      <c r="B331" s="248"/>
    </row>
    <row r="332" spans="1:2" x14ac:dyDescent="0.2">
      <c r="A332"/>
      <c r="B332" s="248"/>
    </row>
    <row r="333" spans="1:2" x14ac:dyDescent="0.2">
      <c r="A333"/>
      <c r="B333" s="248"/>
    </row>
    <row r="334" spans="1:2" x14ac:dyDescent="0.2">
      <c r="A334"/>
      <c r="B334" s="248"/>
    </row>
    <row r="335" spans="1:2" x14ac:dyDescent="0.2">
      <c r="A335"/>
      <c r="B335" s="248"/>
    </row>
    <row r="336" spans="1:2" x14ac:dyDescent="0.2">
      <c r="A336"/>
      <c r="B336" s="248"/>
    </row>
    <row r="337" spans="1:2" x14ac:dyDescent="0.2">
      <c r="A337"/>
      <c r="B337" s="248"/>
    </row>
    <row r="338" spans="1:2" x14ac:dyDescent="0.2">
      <c r="A338"/>
      <c r="B338" s="248"/>
    </row>
    <row r="339" spans="1:2" x14ac:dyDescent="0.2">
      <c r="A339"/>
      <c r="B339" s="248"/>
    </row>
    <row r="340" spans="1:2" x14ac:dyDescent="0.2">
      <c r="A340"/>
      <c r="B340" s="248"/>
    </row>
    <row r="341" spans="1:2" x14ac:dyDescent="0.2">
      <c r="A341"/>
      <c r="B341" s="248"/>
    </row>
    <row r="342" spans="1:2" x14ac:dyDescent="0.2">
      <c r="A342"/>
      <c r="B342" s="248"/>
    </row>
    <row r="343" spans="1:2" x14ac:dyDescent="0.2">
      <c r="A343"/>
      <c r="B343" s="248"/>
    </row>
    <row r="344" spans="1:2" x14ac:dyDescent="0.2">
      <c r="A344"/>
      <c r="B344" s="248"/>
    </row>
    <row r="345" spans="1:2" x14ac:dyDescent="0.2">
      <c r="A345"/>
      <c r="B345" s="248"/>
    </row>
    <row r="346" spans="1:2" x14ac:dyDescent="0.2">
      <c r="A346"/>
      <c r="B346" s="248"/>
    </row>
    <row r="347" spans="1:2" x14ac:dyDescent="0.2">
      <c r="A347"/>
      <c r="B347" s="248"/>
    </row>
    <row r="348" spans="1:2" x14ac:dyDescent="0.2">
      <c r="A348"/>
      <c r="B348" s="248"/>
    </row>
    <row r="349" spans="1:2" x14ac:dyDescent="0.2">
      <c r="A349"/>
      <c r="B349" s="248"/>
    </row>
    <row r="350" spans="1:2" x14ac:dyDescent="0.2">
      <c r="A350"/>
      <c r="B350" s="248"/>
    </row>
    <row r="351" spans="1:2" x14ac:dyDescent="0.2">
      <c r="A351"/>
      <c r="B351" s="248"/>
    </row>
    <row r="352" spans="1:2" x14ac:dyDescent="0.2">
      <c r="A352"/>
      <c r="B352" s="248"/>
    </row>
    <row r="353" spans="1:2" x14ac:dyDescent="0.2">
      <c r="A353"/>
      <c r="B353" s="248"/>
    </row>
    <row r="354" spans="1:2" x14ac:dyDescent="0.2">
      <c r="A354"/>
      <c r="B354" s="248"/>
    </row>
    <row r="355" spans="1:2" x14ac:dyDescent="0.2">
      <c r="A355"/>
      <c r="B355" s="248"/>
    </row>
    <row r="356" spans="1:2" x14ac:dyDescent="0.2">
      <c r="A356"/>
      <c r="B356" s="248"/>
    </row>
    <row r="357" spans="1:2" x14ac:dyDescent="0.2">
      <c r="A357"/>
      <c r="B357" s="248"/>
    </row>
    <row r="358" spans="1:2" x14ac:dyDescent="0.2">
      <c r="A358"/>
      <c r="B358" s="248"/>
    </row>
    <row r="359" spans="1:2" x14ac:dyDescent="0.2">
      <c r="A359"/>
      <c r="B359" s="248"/>
    </row>
    <row r="360" spans="1:2" x14ac:dyDescent="0.2">
      <c r="A360"/>
      <c r="B360" s="248"/>
    </row>
    <row r="361" spans="1:2" x14ac:dyDescent="0.2">
      <c r="A361"/>
      <c r="B361" s="248"/>
    </row>
    <row r="362" spans="1:2" x14ac:dyDescent="0.2">
      <c r="A362"/>
      <c r="B362" s="248"/>
    </row>
    <row r="363" spans="1:2" x14ac:dyDescent="0.2">
      <c r="A363"/>
      <c r="B363" s="248"/>
    </row>
    <row r="364" spans="1:2" x14ac:dyDescent="0.2">
      <c r="A364"/>
      <c r="B364" s="248"/>
    </row>
    <row r="365" spans="1:2" x14ac:dyDescent="0.2">
      <c r="A365"/>
      <c r="B365" s="248"/>
    </row>
    <row r="366" spans="1:2" x14ac:dyDescent="0.2">
      <c r="A366"/>
      <c r="B366" s="248"/>
    </row>
    <row r="367" spans="1:2" x14ac:dyDescent="0.2">
      <c r="A367"/>
      <c r="B367" s="248"/>
    </row>
    <row r="368" spans="1:2" x14ac:dyDescent="0.2">
      <c r="A368"/>
      <c r="B368" s="248"/>
    </row>
    <row r="369" spans="1:2" x14ac:dyDescent="0.2">
      <c r="A369"/>
      <c r="B369" s="248"/>
    </row>
    <row r="370" spans="1:2" x14ac:dyDescent="0.2">
      <c r="A370"/>
      <c r="B370" s="248"/>
    </row>
    <row r="371" spans="1:2" x14ac:dyDescent="0.2">
      <c r="A371"/>
      <c r="B371" s="248"/>
    </row>
    <row r="372" spans="1:2" x14ac:dyDescent="0.2">
      <c r="A372"/>
      <c r="B372" s="248"/>
    </row>
    <row r="373" spans="1:2" x14ac:dyDescent="0.2">
      <c r="A373"/>
      <c r="B373" s="248"/>
    </row>
    <row r="374" spans="1:2" x14ac:dyDescent="0.2">
      <c r="A374"/>
      <c r="B374" s="248"/>
    </row>
    <row r="375" spans="1:2" x14ac:dyDescent="0.2">
      <c r="A375"/>
      <c r="B375" s="248"/>
    </row>
    <row r="376" spans="1:2" x14ac:dyDescent="0.2">
      <c r="A376"/>
      <c r="B376" s="248"/>
    </row>
    <row r="377" spans="1:2" x14ac:dyDescent="0.2">
      <c r="A377"/>
      <c r="B377" s="248"/>
    </row>
    <row r="378" spans="1:2" x14ac:dyDescent="0.2">
      <c r="A378"/>
      <c r="B378" s="248"/>
    </row>
    <row r="379" spans="1:2" x14ac:dyDescent="0.2">
      <c r="A379"/>
      <c r="B379" s="248"/>
    </row>
    <row r="380" spans="1:2" x14ac:dyDescent="0.2">
      <c r="A380"/>
      <c r="B380" s="248"/>
    </row>
    <row r="381" spans="1:2" x14ac:dyDescent="0.2">
      <c r="A381"/>
      <c r="B381" s="248"/>
    </row>
    <row r="382" spans="1:2" x14ac:dyDescent="0.2">
      <c r="A382"/>
      <c r="B382" s="248"/>
    </row>
    <row r="383" spans="1:2" x14ac:dyDescent="0.2">
      <c r="A383"/>
      <c r="B383" s="248"/>
    </row>
    <row r="384" spans="1:2" x14ac:dyDescent="0.2">
      <c r="A384"/>
      <c r="B384" s="248"/>
    </row>
    <row r="385" spans="1:2" x14ac:dyDescent="0.2">
      <c r="A385"/>
      <c r="B385" s="248"/>
    </row>
    <row r="386" spans="1:2" x14ac:dyDescent="0.2">
      <c r="A386"/>
      <c r="B386" s="248"/>
    </row>
    <row r="387" spans="1:2" x14ac:dyDescent="0.2">
      <c r="A387"/>
      <c r="B387" s="248"/>
    </row>
    <row r="388" spans="1:2" x14ac:dyDescent="0.2">
      <c r="A388"/>
      <c r="B388" s="248"/>
    </row>
    <row r="389" spans="1:2" x14ac:dyDescent="0.2">
      <c r="A389"/>
      <c r="B389" s="248"/>
    </row>
    <row r="390" spans="1:2" x14ac:dyDescent="0.2">
      <c r="A390"/>
      <c r="B390" s="248"/>
    </row>
    <row r="391" spans="1:2" x14ac:dyDescent="0.2">
      <c r="A391"/>
      <c r="B391" s="248"/>
    </row>
    <row r="392" spans="1:2" x14ac:dyDescent="0.2">
      <c r="A392"/>
      <c r="B392" s="248"/>
    </row>
    <row r="393" spans="1:2" x14ac:dyDescent="0.2">
      <c r="A393"/>
      <c r="B393" s="248"/>
    </row>
    <row r="394" spans="1:2" x14ac:dyDescent="0.2">
      <c r="A394"/>
      <c r="B394" s="248"/>
    </row>
    <row r="395" spans="1:2" x14ac:dyDescent="0.2">
      <c r="A395"/>
      <c r="B395" s="248"/>
    </row>
    <row r="396" spans="1:2" x14ac:dyDescent="0.2">
      <c r="A396"/>
      <c r="B396" s="248"/>
    </row>
    <row r="397" spans="1:2" x14ac:dyDescent="0.2">
      <c r="A397"/>
      <c r="B397" s="248"/>
    </row>
    <row r="398" spans="1:2" x14ac:dyDescent="0.2">
      <c r="A398"/>
      <c r="B398" s="248"/>
    </row>
    <row r="399" spans="1:2" x14ac:dyDescent="0.2">
      <c r="A399"/>
      <c r="B399" s="248"/>
    </row>
    <row r="400" spans="1:2" x14ac:dyDescent="0.2">
      <c r="A400"/>
      <c r="B400" s="248"/>
    </row>
    <row r="401" spans="1:2" x14ac:dyDescent="0.2">
      <c r="A401"/>
      <c r="B401" s="248"/>
    </row>
    <row r="402" spans="1:2" x14ac:dyDescent="0.2">
      <c r="A402"/>
      <c r="B402" s="248"/>
    </row>
    <row r="403" spans="1:2" x14ac:dyDescent="0.2">
      <c r="A403"/>
      <c r="B403" s="248"/>
    </row>
    <row r="404" spans="1:2" x14ac:dyDescent="0.2">
      <c r="A404"/>
      <c r="B404" s="248"/>
    </row>
    <row r="405" spans="1:2" x14ac:dyDescent="0.2">
      <c r="A405"/>
      <c r="B405" s="248"/>
    </row>
    <row r="406" spans="1:2" x14ac:dyDescent="0.2">
      <c r="A406"/>
      <c r="B406" s="248"/>
    </row>
    <row r="407" spans="1:2" x14ac:dyDescent="0.2">
      <c r="A407"/>
      <c r="B407" s="248"/>
    </row>
    <row r="408" spans="1:2" x14ac:dyDescent="0.2">
      <c r="A408"/>
      <c r="B408" s="248"/>
    </row>
    <row r="409" spans="1:2" x14ac:dyDescent="0.2">
      <c r="A409"/>
      <c r="B409" s="248"/>
    </row>
    <row r="410" spans="1:2" x14ac:dyDescent="0.2">
      <c r="A410"/>
      <c r="B410" s="248"/>
    </row>
    <row r="411" spans="1:2" x14ac:dyDescent="0.2">
      <c r="A411"/>
      <c r="B411" s="248"/>
    </row>
    <row r="412" spans="1:2" x14ac:dyDescent="0.2">
      <c r="A412"/>
      <c r="B412" s="248"/>
    </row>
    <row r="413" spans="1:2" x14ac:dyDescent="0.2">
      <c r="A413"/>
      <c r="B413" s="248"/>
    </row>
    <row r="414" spans="1:2" x14ac:dyDescent="0.2">
      <c r="A414"/>
      <c r="B414" s="248"/>
    </row>
    <row r="415" spans="1:2" x14ac:dyDescent="0.2">
      <c r="A415"/>
      <c r="B415" s="248"/>
    </row>
    <row r="416" spans="1:2" x14ac:dyDescent="0.2">
      <c r="A416"/>
      <c r="B416" s="248"/>
    </row>
    <row r="417" spans="1:2" x14ac:dyDescent="0.2">
      <c r="A417"/>
      <c r="B417" s="248"/>
    </row>
    <row r="418" spans="1:2" x14ac:dyDescent="0.2">
      <c r="A418"/>
      <c r="B418" s="248"/>
    </row>
    <row r="419" spans="1:2" x14ac:dyDescent="0.2">
      <c r="A419"/>
      <c r="B419" s="248"/>
    </row>
    <row r="420" spans="1:2" x14ac:dyDescent="0.2">
      <c r="A420"/>
      <c r="B420" s="248"/>
    </row>
    <row r="421" spans="1:2" x14ac:dyDescent="0.2">
      <c r="A421"/>
      <c r="B421" s="248"/>
    </row>
    <row r="422" spans="1:2" x14ac:dyDescent="0.2">
      <c r="A422"/>
      <c r="B422" s="248"/>
    </row>
    <row r="423" spans="1:2" x14ac:dyDescent="0.2">
      <c r="A423"/>
      <c r="B423" s="248"/>
    </row>
    <row r="424" spans="1:2" x14ac:dyDescent="0.2">
      <c r="A424"/>
      <c r="B424" s="248"/>
    </row>
    <row r="425" spans="1:2" x14ac:dyDescent="0.2">
      <c r="A425"/>
      <c r="B425" s="248"/>
    </row>
    <row r="426" spans="1:2" x14ac:dyDescent="0.2">
      <c r="A426"/>
      <c r="B426" s="248"/>
    </row>
    <row r="427" spans="1:2" x14ac:dyDescent="0.2">
      <c r="A427"/>
      <c r="B427" s="248"/>
    </row>
    <row r="428" spans="1:2" x14ac:dyDescent="0.2">
      <c r="A428"/>
      <c r="B428" s="248"/>
    </row>
    <row r="429" spans="1:2" x14ac:dyDescent="0.2">
      <c r="A429"/>
      <c r="B429" s="248"/>
    </row>
    <row r="430" spans="1:2" x14ac:dyDescent="0.2">
      <c r="A430"/>
      <c r="B430" s="248"/>
    </row>
    <row r="431" spans="1:2" x14ac:dyDescent="0.2">
      <c r="A431"/>
      <c r="B431" s="248"/>
    </row>
    <row r="432" spans="1:2" x14ac:dyDescent="0.2">
      <c r="A432"/>
      <c r="B432" s="248"/>
    </row>
    <row r="433" spans="1:2" x14ac:dyDescent="0.2">
      <c r="A433"/>
      <c r="B433" s="248"/>
    </row>
    <row r="434" spans="1:2" x14ac:dyDescent="0.2">
      <c r="A434"/>
      <c r="B434" s="248"/>
    </row>
    <row r="435" spans="1:2" x14ac:dyDescent="0.2">
      <c r="A435"/>
      <c r="B435" s="248"/>
    </row>
    <row r="436" spans="1:2" x14ac:dyDescent="0.2">
      <c r="A436"/>
      <c r="B436" s="248"/>
    </row>
    <row r="437" spans="1:2" x14ac:dyDescent="0.2">
      <c r="A437"/>
      <c r="B437" s="248"/>
    </row>
    <row r="438" spans="1:2" x14ac:dyDescent="0.2">
      <c r="A438"/>
      <c r="B438" s="248"/>
    </row>
    <row r="439" spans="1:2" x14ac:dyDescent="0.2">
      <c r="A439"/>
      <c r="B439" s="248"/>
    </row>
    <row r="440" spans="1:2" x14ac:dyDescent="0.2">
      <c r="A440"/>
      <c r="B440" s="248"/>
    </row>
    <row r="441" spans="1:2" x14ac:dyDescent="0.2">
      <c r="A441"/>
      <c r="B441" s="248"/>
    </row>
    <row r="442" spans="1:2" x14ac:dyDescent="0.2">
      <c r="A442"/>
      <c r="B442" s="248"/>
    </row>
    <row r="443" spans="1:2" x14ac:dyDescent="0.2">
      <c r="A443"/>
      <c r="B443" s="248"/>
    </row>
    <row r="444" spans="1:2" x14ac:dyDescent="0.2">
      <c r="A444"/>
      <c r="B444" s="248"/>
    </row>
    <row r="445" spans="1:2" x14ac:dyDescent="0.2">
      <c r="A445"/>
      <c r="B445" s="248"/>
    </row>
    <row r="446" spans="1:2" x14ac:dyDescent="0.2">
      <c r="A446"/>
      <c r="B446" s="248"/>
    </row>
    <row r="447" spans="1:2" x14ac:dyDescent="0.2">
      <c r="A447"/>
      <c r="B447" s="248"/>
    </row>
    <row r="448" spans="1:2" x14ac:dyDescent="0.2">
      <c r="A448"/>
      <c r="B448" s="248"/>
    </row>
    <row r="449" spans="1:2" x14ac:dyDescent="0.2">
      <c r="A449"/>
      <c r="B449" s="248"/>
    </row>
    <row r="450" spans="1:2" x14ac:dyDescent="0.2">
      <c r="A450"/>
      <c r="B450" s="248"/>
    </row>
    <row r="451" spans="1:2" x14ac:dyDescent="0.2">
      <c r="A451"/>
      <c r="B451" s="248"/>
    </row>
    <row r="452" spans="1:2" x14ac:dyDescent="0.2">
      <c r="A452"/>
      <c r="B452" s="248"/>
    </row>
    <row r="453" spans="1:2" x14ac:dyDescent="0.2">
      <c r="A453"/>
      <c r="B453" s="248"/>
    </row>
    <row r="454" spans="1:2" x14ac:dyDescent="0.2">
      <c r="A454"/>
      <c r="B454" s="248"/>
    </row>
    <row r="455" spans="1:2" x14ac:dyDescent="0.2">
      <c r="A455"/>
      <c r="B455" s="248"/>
    </row>
    <row r="456" spans="1:2" x14ac:dyDescent="0.2">
      <c r="A456"/>
      <c r="B456" s="248"/>
    </row>
    <row r="457" spans="1:2" x14ac:dyDescent="0.2">
      <c r="A457"/>
      <c r="B457" s="248"/>
    </row>
    <row r="458" spans="1:2" x14ac:dyDescent="0.2">
      <c r="A458"/>
      <c r="B458" s="248"/>
    </row>
    <row r="459" spans="1:2" x14ac:dyDescent="0.2">
      <c r="A459"/>
      <c r="B459" s="248"/>
    </row>
    <row r="460" spans="1:2" x14ac:dyDescent="0.2">
      <c r="A460"/>
      <c r="B460" s="248"/>
    </row>
    <row r="461" spans="1:2" x14ac:dyDescent="0.2">
      <c r="A461"/>
      <c r="B461" s="248"/>
    </row>
    <row r="462" spans="1:2" x14ac:dyDescent="0.2">
      <c r="A462"/>
      <c r="B462" s="248"/>
    </row>
    <row r="463" spans="1:2" x14ac:dyDescent="0.2">
      <c r="A463"/>
      <c r="B463" s="248"/>
    </row>
    <row r="464" spans="1:2" x14ac:dyDescent="0.2">
      <c r="A464"/>
      <c r="B464" s="248"/>
    </row>
    <row r="465" spans="1:2" x14ac:dyDescent="0.2">
      <c r="A465"/>
      <c r="B465" s="248"/>
    </row>
    <row r="466" spans="1:2" x14ac:dyDescent="0.2">
      <c r="A466"/>
      <c r="B466" s="248"/>
    </row>
    <row r="467" spans="1:2" x14ac:dyDescent="0.2">
      <c r="A467"/>
      <c r="B467" s="248"/>
    </row>
    <row r="468" spans="1:2" x14ac:dyDescent="0.2">
      <c r="A468"/>
      <c r="B468" s="248"/>
    </row>
    <row r="469" spans="1:2" x14ac:dyDescent="0.2">
      <c r="A469"/>
      <c r="B469" s="248"/>
    </row>
    <row r="470" spans="1:2" x14ac:dyDescent="0.2">
      <c r="A470"/>
      <c r="B470" s="248"/>
    </row>
    <row r="471" spans="1:2" x14ac:dyDescent="0.2">
      <c r="A471"/>
      <c r="B471" s="248"/>
    </row>
    <row r="472" spans="1:2" x14ac:dyDescent="0.2">
      <c r="A472"/>
      <c r="B472" s="248"/>
    </row>
    <row r="473" spans="1:2" x14ac:dyDescent="0.2">
      <c r="A473"/>
      <c r="B473" s="248"/>
    </row>
    <row r="474" spans="1:2" x14ac:dyDescent="0.2">
      <c r="A474"/>
      <c r="B474" s="248"/>
    </row>
    <row r="475" spans="1:2" x14ac:dyDescent="0.2">
      <c r="A475"/>
      <c r="B475" s="248"/>
    </row>
    <row r="476" spans="1:2" x14ac:dyDescent="0.2">
      <c r="A476"/>
      <c r="B476" s="248"/>
    </row>
    <row r="477" spans="1:2" x14ac:dyDescent="0.2">
      <c r="A477"/>
      <c r="B477" s="248"/>
    </row>
    <row r="478" spans="1:2" x14ac:dyDescent="0.2">
      <c r="A478"/>
      <c r="B478" s="248"/>
    </row>
    <row r="479" spans="1:2" x14ac:dyDescent="0.2">
      <c r="A479"/>
      <c r="B479" s="248"/>
    </row>
    <row r="480" spans="1:2" x14ac:dyDescent="0.2">
      <c r="A480"/>
      <c r="B480" s="248"/>
    </row>
    <row r="481" spans="1:2" x14ac:dyDescent="0.2">
      <c r="A481"/>
      <c r="B481" s="248"/>
    </row>
    <row r="482" spans="1:2" x14ac:dyDescent="0.2">
      <c r="A482"/>
      <c r="B482" s="248"/>
    </row>
    <row r="483" spans="1:2" x14ac:dyDescent="0.2">
      <c r="A483"/>
      <c r="B483" s="248"/>
    </row>
    <row r="484" spans="1:2" x14ac:dyDescent="0.2">
      <c r="A484"/>
      <c r="B484" s="248"/>
    </row>
    <row r="485" spans="1:2" x14ac:dyDescent="0.2">
      <c r="A485"/>
      <c r="B485" s="248"/>
    </row>
    <row r="486" spans="1:2" x14ac:dyDescent="0.2">
      <c r="A486"/>
      <c r="B486" s="248"/>
    </row>
    <row r="487" spans="1:2" x14ac:dyDescent="0.2">
      <c r="A487"/>
      <c r="B487" s="248"/>
    </row>
    <row r="488" spans="1:2" x14ac:dyDescent="0.2">
      <c r="A488"/>
      <c r="B488" s="248"/>
    </row>
    <row r="489" spans="1:2" x14ac:dyDescent="0.2">
      <c r="A489"/>
      <c r="B489" s="248"/>
    </row>
    <row r="490" spans="1:2" x14ac:dyDescent="0.2">
      <c r="A490"/>
      <c r="B490" s="248"/>
    </row>
    <row r="491" spans="1:2" x14ac:dyDescent="0.2">
      <c r="A491"/>
      <c r="B491" s="248"/>
    </row>
    <row r="492" spans="1:2" x14ac:dyDescent="0.2">
      <c r="A492"/>
      <c r="B492" s="248"/>
    </row>
    <row r="493" spans="1:2" x14ac:dyDescent="0.2">
      <c r="A493"/>
      <c r="B493" s="248"/>
    </row>
    <row r="494" spans="1:2" x14ac:dyDescent="0.2">
      <c r="A494"/>
      <c r="B494" s="248"/>
    </row>
    <row r="495" spans="1:2" x14ac:dyDescent="0.2">
      <c r="A495"/>
      <c r="B495" s="248"/>
    </row>
    <row r="496" spans="1:2" x14ac:dyDescent="0.2">
      <c r="A496"/>
      <c r="B496" s="248"/>
    </row>
    <row r="497" spans="1:2" x14ac:dyDescent="0.2">
      <c r="A497"/>
      <c r="B497" s="248"/>
    </row>
    <row r="498" spans="1:2" x14ac:dyDescent="0.2">
      <c r="A498"/>
      <c r="B498" s="248"/>
    </row>
    <row r="499" spans="1:2" x14ac:dyDescent="0.2">
      <c r="A499"/>
      <c r="B499" s="248"/>
    </row>
    <row r="500" spans="1:2" x14ac:dyDescent="0.2">
      <c r="A500"/>
      <c r="B500" s="248"/>
    </row>
    <row r="501" spans="1:2" x14ac:dyDescent="0.2">
      <c r="A501"/>
      <c r="B501" s="248"/>
    </row>
    <row r="502" spans="1:2" x14ac:dyDescent="0.2">
      <c r="A502"/>
      <c r="B502" s="248"/>
    </row>
    <row r="503" spans="1:2" x14ac:dyDescent="0.2">
      <c r="A503"/>
      <c r="B503" s="248"/>
    </row>
    <row r="504" spans="1:2" x14ac:dyDescent="0.2">
      <c r="A504"/>
      <c r="B504" s="248"/>
    </row>
    <row r="505" spans="1:2" x14ac:dyDescent="0.2">
      <c r="A505"/>
      <c r="B505" s="248"/>
    </row>
    <row r="506" spans="1:2" x14ac:dyDescent="0.2">
      <c r="A506"/>
      <c r="B506" s="248"/>
    </row>
    <row r="507" spans="1:2" x14ac:dyDescent="0.2">
      <c r="A507"/>
      <c r="B507" s="248"/>
    </row>
    <row r="508" spans="1:2" x14ac:dyDescent="0.2">
      <c r="A508"/>
      <c r="B508" s="248"/>
    </row>
    <row r="509" spans="1:2" x14ac:dyDescent="0.2">
      <c r="A509"/>
      <c r="B509" s="248"/>
    </row>
    <row r="510" spans="1:2" x14ac:dyDescent="0.2">
      <c r="A510"/>
      <c r="B510" s="248"/>
    </row>
    <row r="511" spans="1:2" x14ac:dyDescent="0.2">
      <c r="A511"/>
      <c r="B511" s="248"/>
    </row>
    <row r="512" spans="1:2" x14ac:dyDescent="0.2">
      <c r="A512"/>
      <c r="B512" s="248"/>
    </row>
    <row r="513" spans="1:2" x14ac:dyDescent="0.2">
      <c r="A513"/>
      <c r="B513" s="248"/>
    </row>
    <row r="514" spans="1:2" x14ac:dyDescent="0.2">
      <c r="A514"/>
      <c r="B514" s="248"/>
    </row>
    <row r="515" spans="1:2" x14ac:dyDescent="0.2">
      <c r="A515"/>
      <c r="B515" s="248"/>
    </row>
    <row r="516" spans="1:2" x14ac:dyDescent="0.2">
      <c r="A516"/>
      <c r="B516" s="248"/>
    </row>
    <row r="517" spans="1:2" x14ac:dyDescent="0.2">
      <c r="A517"/>
      <c r="B517" s="248"/>
    </row>
    <row r="518" spans="1:2" x14ac:dyDescent="0.2">
      <c r="A518"/>
      <c r="B518" s="248"/>
    </row>
    <row r="519" spans="1:2" x14ac:dyDescent="0.2">
      <c r="A519"/>
      <c r="B519" s="248"/>
    </row>
    <row r="520" spans="1:2" x14ac:dyDescent="0.2">
      <c r="A520"/>
      <c r="B520" s="248"/>
    </row>
    <row r="521" spans="1:2" x14ac:dyDescent="0.2">
      <c r="A521"/>
      <c r="B521" s="248"/>
    </row>
    <row r="522" spans="1:2" x14ac:dyDescent="0.2">
      <c r="A522"/>
      <c r="B522" s="248"/>
    </row>
    <row r="523" spans="1:2" x14ac:dyDescent="0.2">
      <c r="A523"/>
      <c r="B523" s="248"/>
    </row>
    <row r="524" spans="1:2" x14ac:dyDescent="0.2">
      <c r="A524"/>
      <c r="B524" s="248"/>
    </row>
    <row r="525" spans="1:2" x14ac:dyDescent="0.2">
      <c r="A525"/>
      <c r="B525" s="248"/>
    </row>
    <row r="526" spans="1:2" x14ac:dyDescent="0.2">
      <c r="A526"/>
      <c r="B526" s="248"/>
    </row>
    <row r="527" spans="1:2" x14ac:dyDescent="0.2">
      <c r="A527"/>
      <c r="B527" s="248"/>
    </row>
    <row r="528" spans="1:2" x14ac:dyDescent="0.2">
      <c r="A528"/>
      <c r="B528" s="248"/>
    </row>
    <row r="529" spans="1:2" x14ac:dyDescent="0.2">
      <c r="A529"/>
      <c r="B529" s="248"/>
    </row>
    <row r="530" spans="1:2" x14ac:dyDescent="0.2">
      <c r="A530"/>
      <c r="B530" s="248"/>
    </row>
    <row r="531" spans="1:2" x14ac:dyDescent="0.2">
      <c r="A531"/>
      <c r="B531" s="248"/>
    </row>
    <row r="532" spans="1:2" x14ac:dyDescent="0.2">
      <c r="A532"/>
      <c r="B532" s="248"/>
    </row>
    <row r="533" spans="1:2" x14ac:dyDescent="0.2">
      <c r="A533"/>
      <c r="B533" s="248"/>
    </row>
    <row r="534" spans="1:2" x14ac:dyDescent="0.2">
      <c r="A534"/>
      <c r="B534" s="248"/>
    </row>
    <row r="535" spans="1:2" x14ac:dyDescent="0.2">
      <c r="A535"/>
      <c r="B535" s="248"/>
    </row>
    <row r="536" spans="1:2" x14ac:dyDescent="0.2">
      <c r="A536"/>
      <c r="B536" s="248"/>
    </row>
    <row r="537" spans="1:2" x14ac:dyDescent="0.2">
      <c r="A537"/>
      <c r="B537" s="248"/>
    </row>
    <row r="538" spans="1:2" x14ac:dyDescent="0.2">
      <c r="A538"/>
      <c r="B538" s="248"/>
    </row>
    <row r="539" spans="1:2" x14ac:dyDescent="0.2">
      <c r="A539"/>
      <c r="B539" s="248"/>
    </row>
    <row r="540" spans="1:2" x14ac:dyDescent="0.2">
      <c r="A540"/>
      <c r="B540" s="248"/>
    </row>
    <row r="541" spans="1:2" x14ac:dyDescent="0.2">
      <c r="A541"/>
      <c r="B541" s="248"/>
    </row>
    <row r="542" spans="1:2" x14ac:dyDescent="0.2">
      <c r="A542"/>
      <c r="B542" s="248"/>
    </row>
    <row r="543" spans="1:2" x14ac:dyDescent="0.2">
      <c r="A543"/>
      <c r="B543" s="248"/>
    </row>
    <row r="544" spans="1:2" x14ac:dyDescent="0.2">
      <c r="A544"/>
      <c r="B544" s="248"/>
    </row>
    <row r="545" spans="1:2" x14ac:dyDescent="0.2">
      <c r="A545"/>
      <c r="B545" s="248"/>
    </row>
    <row r="546" spans="1:2" x14ac:dyDescent="0.2">
      <c r="A546"/>
      <c r="B546" s="248"/>
    </row>
    <row r="547" spans="1:2" x14ac:dyDescent="0.2">
      <c r="A547"/>
      <c r="B547" s="248"/>
    </row>
    <row r="548" spans="1:2" x14ac:dyDescent="0.2">
      <c r="A548"/>
      <c r="B548" s="248"/>
    </row>
    <row r="549" spans="1:2" x14ac:dyDescent="0.2">
      <c r="A549"/>
      <c r="B549" s="248"/>
    </row>
    <row r="550" spans="1:2" x14ac:dyDescent="0.2">
      <c r="A550"/>
      <c r="B550" s="248"/>
    </row>
    <row r="551" spans="1:2" x14ac:dyDescent="0.2">
      <c r="A551"/>
      <c r="B551" s="248"/>
    </row>
    <row r="552" spans="1:2" x14ac:dyDescent="0.2">
      <c r="A552"/>
      <c r="B552" s="248"/>
    </row>
    <row r="553" spans="1:2" x14ac:dyDescent="0.2">
      <c r="A553"/>
      <c r="B553" s="248"/>
    </row>
    <row r="554" spans="1:2" x14ac:dyDescent="0.2">
      <c r="A554"/>
      <c r="B554" s="248"/>
    </row>
    <row r="555" spans="1:2" x14ac:dyDescent="0.2">
      <c r="A555"/>
      <c r="B555" s="248"/>
    </row>
    <row r="556" spans="1:2" x14ac:dyDescent="0.2">
      <c r="A556"/>
      <c r="B556" s="248"/>
    </row>
    <row r="557" spans="1:2" x14ac:dyDescent="0.2">
      <c r="A557"/>
      <c r="B557" s="248"/>
    </row>
    <row r="558" spans="1:2" x14ac:dyDescent="0.2">
      <c r="A558"/>
      <c r="B558" s="248"/>
    </row>
    <row r="559" spans="1:2" x14ac:dyDescent="0.2">
      <c r="A559"/>
      <c r="B559" s="248"/>
    </row>
    <row r="560" spans="1:2" x14ac:dyDescent="0.2">
      <c r="A560"/>
      <c r="B560" s="248"/>
    </row>
    <row r="561" spans="1:2" x14ac:dyDescent="0.2">
      <c r="A561"/>
      <c r="B561" s="248"/>
    </row>
    <row r="562" spans="1:2" x14ac:dyDescent="0.2">
      <c r="A562"/>
      <c r="B562" s="248"/>
    </row>
    <row r="563" spans="1:2" x14ac:dyDescent="0.2">
      <c r="A563"/>
      <c r="B563" s="248"/>
    </row>
    <row r="564" spans="1:2" x14ac:dyDescent="0.2">
      <c r="A564"/>
      <c r="B564" s="248"/>
    </row>
    <row r="565" spans="1:2" x14ac:dyDescent="0.2">
      <c r="A565"/>
      <c r="B565" s="248"/>
    </row>
    <row r="566" spans="1:2" x14ac:dyDescent="0.2">
      <c r="A566"/>
      <c r="B566" s="248"/>
    </row>
    <row r="567" spans="1:2" x14ac:dyDescent="0.2">
      <c r="A567"/>
      <c r="B567" s="248"/>
    </row>
  </sheetData>
  <mergeCells count="1">
    <mergeCell ref="A11:B11"/>
  </mergeCells>
  <pageMargins left="0.7" right="0.7" top="0.75" bottom="0.75" header="0.3" footer="0.3"/>
  <pageSetup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234"/>
  <sheetViews>
    <sheetView rightToLeft="1" zoomScaleNormal="100" workbookViewId="0">
      <pane xSplit="4" ySplit="3" topLeftCell="E211" activePane="bottomRight" state="frozen"/>
      <selection pane="topRight" activeCell="E1" sqref="E1"/>
      <selection pane="bottomLeft" activeCell="A4" sqref="A4"/>
      <selection pane="bottomRight" activeCell="D225" sqref="D225"/>
    </sheetView>
  </sheetViews>
  <sheetFormatPr baseColWidth="10" defaultColWidth="8.83203125" defaultRowHeight="15" customHeight="1" x14ac:dyDescent="0.2"/>
  <cols>
    <col min="1" max="1" width="8.83203125" style="178"/>
    <col min="2" max="2" width="8.83203125" style="178" hidden="1"/>
    <col min="3" max="3" width="20.6640625" style="178" hidden="1" customWidth="1"/>
    <col min="4" max="4" width="65.6640625" style="178" bestFit="1" customWidth="1"/>
    <col min="5" max="5" width="24" style="168" customWidth="1"/>
    <col min="6" max="6" width="18.5" style="169" customWidth="1"/>
    <col min="7" max="7" width="18.5" style="178" customWidth="1"/>
    <col min="8" max="8" width="17.1640625" style="178" bestFit="1" customWidth="1"/>
    <col min="9" max="9" width="18.5" style="178" customWidth="1"/>
    <col min="10" max="10" width="19.5" style="178" customWidth="1"/>
    <col min="11" max="11" width="19.33203125" style="178" customWidth="1"/>
    <col min="12" max="12" width="18.1640625" style="178" customWidth="1"/>
    <col min="13" max="15" width="18.5" style="178" customWidth="1"/>
    <col min="16" max="17" width="17.83203125" style="178" customWidth="1"/>
    <col min="18" max="18" width="18.5" style="178" customWidth="1"/>
    <col min="19" max="19" width="18.83203125" style="178" customWidth="1"/>
    <col min="20" max="23" width="17.83203125" style="178" customWidth="1"/>
    <col min="24" max="24" width="18.5" style="178" customWidth="1"/>
    <col min="25" max="25" width="17.83203125" style="178" customWidth="1"/>
    <col min="26" max="26" width="11.6640625" style="178" customWidth="1"/>
    <col min="27" max="27" width="17.83203125" style="178" customWidth="1"/>
    <col min="28" max="29" width="11.6640625" style="178" customWidth="1"/>
    <col min="30" max="16384" width="8.83203125" style="178"/>
  </cols>
  <sheetData>
    <row r="1" spans="1:29" s="171" customFormat="1" ht="25" x14ac:dyDescent="0.2">
      <c r="A1" s="370" t="s">
        <v>240</v>
      </c>
      <c r="B1" s="370"/>
      <c r="C1" s="370"/>
      <c r="D1" s="370"/>
      <c r="E1" s="168" t="s">
        <v>328</v>
      </c>
      <c r="F1" s="169"/>
      <c r="G1" s="168"/>
      <c r="H1" s="170"/>
      <c r="I1" s="168"/>
      <c r="J1" s="170"/>
      <c r="K1" s="168"/>
      <c r="L1" s="170"/>
      <c r="M1" s="168"/>
      <c r="N1" s="168"/>
      <c r="O1" s="168"/>
      <c r="P1" s="169"/>
      <c r="Q1" s="168"/>
      <c r="R1" s="170"/>
      <c r="S1" s="168"/>
      <c r="T1" s="169"/>
      <c r="U1" s="168"/>
      <c r="V1" s="169"/>
      <c r="W1" s="168"/>
      <c r="X1" s="170"/>
      <c r="Y1" s="168"/>
      <c r="Z1" s="169"/>
      <c r="AA1" s="168"/>
      <c r="AB1" s="169"/>
      <c r="AC1" s="371" t="s">
        <v>231</v>
      </c>
    </row>
    <row r="2" spans="1:29" s="173" customFormat="1" ht="38" customHeight="1" x14ac:dyDescent="0.2">
      <c r="A2" s="372" t="s">
        <v>242</v>
      </c>
      <c r="B2" s="372"/>
      <c r="C2" s="372"/>
      <c r="D2" s="372"/>
      <c r="E2" s="351">
        <v>46362</v>
      </c>
      <c r="F2" s="169"/>
      <c r="G2" s="172"/>
      <c r="H2" s="170"/>
      <c r="I2" s="172"/>
      <c r="J2" s="170"/>
      <c r="K2" s="172"/>
      <c r="L2" s="170"/>
      <c r="M2" s="172"/>
      <c r="N2" s="170"/>
      <c r="O2" s="172"/>
      <c r="P2" s="170"/>
      <c r="Q2" s="172"/>
      <c r="R2" s="170"/>
      <c r="S2" s="172"/>
      <c r="T2" s="170"/>
      <c r="U2" s="172"/>
      <c r="V2" s="170"/>
      <c r="W2" s="172"/>
      <c r="X2" s="170"/>
      <c r="Y2" s="172"/>
      <c r="Z2" s="170"/>
      <c r="AA2" s="172"/>
      <c r="AB2" s="170"/>
      <c r="AC2" s="371"/>
    </row>
    <row r="3" spans="1:29" ht="24" x14ac:dyDescent="0.2">
      <c r="A3" s="174"/>
      <c r="B3" s="175" t="s">
        <v>243</v>
      </c>
      <c r="C3" s="175" t="s">
        <v>244</v>
      </c>
      <c r="D3" s="174" t="s">
        <v>4</v>
      </c>
      <c r="G3" s="168"/>
      <c r="H3" s="169"/>
      <c r="I3" s="176"/>
      <c r="J3" s="169"/>
      <c r="K3" s="168"/>
      <c r="L3" s="169"/>
      <c r="M3" s="176"/>
      <c r="N3" s="177"/>
      <c r="O3" s="168"/>
      <c r="P3" s="169"/>
      <c r="Q3" s="168"/>
      <c r="R3" s="169"/>
      <c r="S3" s="168"/>
      <c r="T3" s="169"/>
      <c r="U3" s="168"/>
      <c r="V3" s="169"/>
      <c r="W3" s="168"/>
      <c r="X3" s="169"/>
      <c r="Y3" s="168"/>
      <c r="Z3" s="169"/>
      <c r="AA3" s="168"/>
      <c r="AB3" s="169"/>
      <c r="AC3" s="371"/>
    </row>
    <row r="4" spans="1:29" ht="24" x14ac:dyDescent="0.25">
      <c r="A4" s="179">
        <v>1</v>
      </c>
      <c r="B4" s="180"/>
      <c r="C4" s="180"/>
      <c r="D4" s="181" t="s">
        <v>9</v>
      </c>
      <c r="E4" s="168">
        <v>100</v>
      </c>
      <c r="G4" s="182"/>
      <c r="H4" s="183"/>
      <c r="I4" s="176"/>
      <c r="J4" s="183"/>
      <c r="K4" s="182"/>
      <c r="L4" s="183"/>
      <c r="M4" s="176"/>
      <c r="N4" s="177"/>
      <c r="O4" s="168"/>
      <c r="P4" s="184"/>
      <c r="Q4" s="168"/>
      <c r="R4" s="183"/>
      <c r="S4" s="182"/>
      <c r="T4" s="184"/>
      <c r="U4" s="182"/>
      <c r="V4" s="184"/>
      <c r="W4" s="182"/>
      <c r="X4" s="183"/>
      <c r="Y4" s="182"/>
      <c r="Z4" s="184"/>
      <c r="AA4" s="182"/>
      <c r="AB4" s="184"/>
      <c r="AC4" s="185">
        <f t="shared" ref="AC4:AC75" si="0">SUM(E4:AB4)</f>
        <v>100</v>
      </c>
    </row>
    <row r="5" spans="1:29" ht="24" x14ac:dyDescent="0.25">
      <c r="A5" s="179">
        <v>2</v>
      </c>
      <c r="B5" s="180"/>
      <c r="C5" s="180"/>
      <c r="D5" s="181" t="s">
        <v>10</v>
      </c>
      <c r="G5" s="176"/>
      <c r="H5" s="177"/>
      <c r="I5" s="176"/>
      <c r="J5" s="177"/>
      <c r="K5" s="176"/>
      <c r="L5" s="177"/>
      <c r="M5" s="176"/>
      <c r="N5" s="177"/>
      <c r="O5" s="168"/>
      <c r="P5" s="186"/>
      <c r="Q5" s="168"/>
      <c r="R5" s="177"/>
      <c r="S5" s="176"/>
      <c r="T5" s="186"/>
      <c r="U5" s="176"/>
      <c r="V5" s="186"/>
      <c r="W5" s="176"/>
      <c r="X5" s="177"/>
      <c r="Y5" s="176"/>
      <c r="Z5" s="186"/>
      <c r="AA5" s="176"/>
      <c r="AB5" s="186"/>
      <c r="AC5" s="185">
        <f t="shared" si="0"/>
        <v>0</v>
      </c>
    </row>
    <row r="6" spans="1:29" ht="24" x14ac:dyDescent="0.25">
      <c r="A6" s="179">
        <v>3</v>
      </c>
      <c r="B6" s="180"/>
      <c r="C6" s="180"/>
      <c r="D6" s="181" t="s">
        <v>11</v>
      </c>
      <c r="E6" s="168">
        <v>150</v>
      </c>
      <c r="G6" s="176"/>
      <c r="H6" s="177"/>
      <c r="I6" s="176"/>
      <c r="J6" s="177"/>
      <c r="K6" s="176"/>
      <c r="L6" s="177"/>
      <c r="M6" s="176"/>
      <c r="N6" s="177"/>
      <c r="O6" s="168"/>
      <c r="P6" s="186"/>
      <c r="Q6" s="168"/>
      <c r="R6" s="177"/>
      <c r="S6" s="176"/>
      <c r="T6" s="186"/>
      <c r="U6" s="176"/>
      <c r="V6" s="186"/>
      <c r="W6" s="176"/>
      <c r="X6" s="177"/>
      <c r="Y6" s="176"/>
      <c r="Z6" s="186"/>
      <c r="AA6" s="176"/>
      <c r="AB6" s="186"/>
      <c r="AC6" s="185">
        <f t="shared" si="0"/>
        <v>150</v>
      </c>
    </row>
    <row r="7" spans="1:29" ht="24" x14ac:dyDescent="0.25">
      <c r="A7" s="179">
        <v>4</v>
      </c>
      <c r="B7" s="180"/>
      <c r="C7" s="180"/>
      <c r="D7" s="181" t="s">
        <v>12</v>
      </c>
      <c r="G7" s="176"/>
      <c r="H7" s="186"/>
      <c r="I7" s="176"/>
      <c r="J7" s="186"/>
      <c r="K7" s="176"/>
      <c r="L7" s="186"/>
      <c r="M7" s="176"/>
      <c r="N7" s="177"/>
      <c r="O7" s="168"/>
      <c r="P7" s="186"/>
      <c r="Q7" s="168"/>
      <c r="R7" s="186"/>
      <c r="S7" s="176"/>
      <c r="T7" s="186"/>
      <c r="U7" s="176"/>
      <c r="V7" s="186"/>
      <c r="W7" s="176"/>
      <c r="X7" s="186"/>
      <c r="Y7" s="176"/>
      <c r="Z7" s="186"/>
      <c r="AA7" s="176"/>
      <c r="AB7" s="186"/>
      <c r="AC7" s="185">
        <f t="shared" si="0"/>
        <v>0</v>
      </c>
    </row>
    <row r="8" spans="1:29" ht="24" x14ac:dyDescent="0.25">
      <c r="A8" s="179">
        <v>5</v>
      </c>
      <c r="B8" s="180"/>
      <c r="C8" s="180"/>
      <c r="D8" s="181" t="s">
        <v>13</v>
      </c>
      <c r="G8" s="176"/>
      <c r="H8" s="177"/>
      <c r="I8" s="176"/>
      <c r="J8" s="177"/>
      <c r="K8" s="176"/>
      <c r="L8" s="177"/>
      <c r="M8" s="176"/>
      <c r="N8" s="177"/>
      <c r="O8" s="168"/>
      <c r="P8" s="186"/>
      <c r="Q8" s="168"/>
      <c r="R8" s="177"/>
      <c r="S8" s="176"/>
      <c r="T8" s="186"/>
      <c r="U8" s="176"/>
      <c r="V8" s="186"/>
      <c r="W8" s="176"/>
      <c r="X8" s="177"/>
      <c r="Y8" s="176"/>
      <c r="Z8" s="186"/>
      <c r="AA8" s="176"/>
      <c r="AB8" s="186"/>
      <c r="AC8" s="185">
        <f t="shared" si="0"/>
        <v>0</v>
      </c>
    </row>
    <row r="9" spans="1:29" ht="24" x14ac:dyDescent="0.25">
      <c r="A9" s="179">
        <v>6</v>
      </c>
      <c r="B9" s="180"/>
      <c r="C9" s="180"/>
      <c r="D9" s="181" t="s">
        <v>14</v>
      </c>
      <c r="G9" s="176"/>
      <c r="H9" s="186"/>
      <c r="I9" s="176"/>
      <c r="J9" s="186"/>
      <c r="K9" s="176"/>
      <c r="L9" s="186"/>
      <c r="M9" s="176"/>
      <c r="N9" s="177"/>
      <c r="O9" s="168"/>
      <c r="P9" s="186"/>
      <c r="Q9" s="168"/>
      <c r="R9" s="186"/>
      <c r="S9" s="176"/>
      <c r="T9" s="186"/>
      <c r="U9" s="176"/>
      <c r="V9" s="186"/>
      <c r="W9" s="176"/>
      <c r="X9" s="186"/>
      <c r="Y9" s="176"/>
      <c r="Z9" s="186"/>
      <c r="AA9" s="176"/>
      <c r="AB9" s="186"/>
      <c r="AC9" s="185">
        <f t="shared" si="0"/>
        <v>0</v>
      </c>
    </row>
    <row r="10" spans="1:29" ht="24" x14ac:dyDescent="0.25">
      <c r="A10" s="179">
        <v>7</v>
      </c>
      <c r="B10" s="180"/>
      <c r="C10" s="180"/>
      <c r="D10" s="181" t="s">
        <v>247</v>
      </c>
      <c r="G10" s="176"/>
      <c r="H10" s="186"/>
      <c r="I10" s="176"/>
      <c r="J10" s="186"/>
      <c r="K10" s="176"/>
      <c r="L10" s="186"/>
      <c r="M10" s="176"/>
      <c r="N10" s="177"/>
      <c r="O10" s="168"/>
      <c r="P10" s="186"/>
      <c r="Q10" s="168"/>
      <c r="R10" s="186"/>
      <c r="S10" s="176"/>
      <c r="T10" s="186"/>
      <c r="U10" s="176"/>
      <c r="V10" s="186"/>
      <c r="W10" s="176"/>
      <c r="X10" s="186"/>
      <c r="Y10" s="176"/>
      <c r="Z10" s="186"/>
      <c r="AA10" s="176"/>
      <c r="AB10" s="186"/>
      <c r="AC10" s="185">
        <f t="shared" si="0"/>
        <v>0</v>
      </c>
    </row>
    <row r="11" spans="1:29" ht="24" x14ac:dyDescent="0.25">
      <c r="A11" s="187">
        <v>8</v>
      </c>
      <c r="B11" s="188"/>
      <c r="C11" s="188"/>
      <c r="D11" s="189" t="s">
        <v>16</v>
      </c>
      <c r="G11" s="176"/>
      <c r="H11" s="186"/>
      <c r="I11" s="176"/>
      <c r="J11" s="186"/>
      <c r="K11" s="176"/>
      <c r="L11" s="186"/>
      <c r="M11" s="176"/>
      <c r="N11" s="177"/>
      <c r="O11" s="168"/>
      <c r="P11" s="186"/>
      <c r="Q11" s="168"/>
      <c r="R11" s="186"/>
      <c r="S11" s="176"/>
      <c r="T11" s="186"/>
      <c r="U11" s="176"/>
      <c r="V11" s="186"/>
      <c r="W11" s="176"/>
      <c r="X11" s="186"/>
      <c r="Y11" s="176"/>
      <c r="Z11" s="186"/>
      <c r="AA11" s="176"/>
      <c r="AB11" s="186"/>
      <c r="AC11" s="185">
        <f t="shared" si="0"/>
        <v>0</v>
      </c>
    </row>
    <row r="12" spans="1:29" ht="24" x14ac:dyDescent="0.25">
      <c r="A12" s="187">
        <v>9</v>
      </c>
      <c r="B12" s="188"/>
      <c r="C12" s="188"/>
      <c r="D12" s="189" t="s">
        <v>17</v>
      </c>
      <c r="G12" s="176"/>
      <c r="H12" s="186"/>
      <c r="I12" s="176"/>
      <c r="J12" s="186"/>
      <c r="K12" s="176"/>
      <c r="L12" s="186"/>
      <c r="M12" s="176"/>
      <c r="N12" s="177"/>
      <c r="O12" s="168"/>
      <c r="P12" s="186"/>
      <c r="Q12" s="168"/>
      <c r="R12" s="186"/>
      <c r="S12" s="176"/>
      <c r="T12" s="186"/>
      <c r="U12" s="176"/>
      <c r="V12" s="186"/>
      <c r="W12" s="176"/>
      <c r="X12" s="186"/>
      <c r="Y12" s="176"/>
      <c r="Z12" s="186"/>
      <c r="AA12" s="176"/>
      <c r="AB12" s="186"/>
      <c r="AC12" s="185">
        <f t="shared" si="0"/>
        <v>0</v>
      </c>
    </row>
    <row r="13" spans="1:29" ht="24" x14ac:dyDescent="0.25">
      <c r="A13" s="187">
        <v>10</v>
      </c>
      <c r="B13" s="188"/>
      <c r="C13" s="188"/>
      <c r="D13" s="189" t="s">
        <v>18</v>
      </c>
      <c r="G13" s="176"/>
      <c r="H13" s="186"/>
      <c r="I13" s="176"/>
      <c r="J13" s="186"/>
      <c r="K13" s="176"/>
      <c r="L13" s="186"/>
      <c r="M13" s="176"/>
      <c r="N13" s="186"/>
      <c r="O13" s="176"/>
      <c r="P13" s="186"/>
      <c r="Q13" s="168"/>
      <c r="R13" s="186"/>
      <c r="S13" s="176"/>
      <c r="T13" s="186"/>
      <c r="U13" s="176"/>
      <c r="V13" s="186"/>
      <c r="W13" s="176"/>
      <c r="X13" s="186"/>
      <c r="Y13" s="176"/>
      <c r="Z13" s="186"/>
      <c r="AA13" s="176"/>
      <c r="AB13" s="186"/>
      <c r="AC13" s="185">
        <f t="shared" si="0"/>
        <v>0</v>
      </c>
    </row>
    <row r="14" spans="1:29" ht="24" x14ac:dyDescent="0.25">
      <c r="A14" s="187">
        <v>11</v>
      </c>
      <c r="B14" s="188"/>
      <c r="C14" s="188"/>
      <c r="D14" s="189" t="s">
        <v>19</v>
      </c>
      <c r="G14" s="176"/>
      <c r="H14" s="186"/>
      <c r="I14" s="176"/>
      <c r="J14" s="186"/>
      <c r="K14" s="176"/>
      <c r="L14" s="186"/>
      <c r="M14" s="176"/>
      <c r="N14" s="186"/>
      <c r="O14" s="176"/>
      <c r="P14" s="186"/>
      <c r="Q14" s="168"/>
      <c r="R14" s="186"/>
      <c r="S14" s="176"/>
      <c r="T14" s="186"/>
      <c r="U14" s="176"/>
      <c r="V14" s="186"/>
      <c r="W14" s="176"/>
      <c r="X14" s="186"/>
      <c r="Y14" s="176"/>
      <c r="Z14" s="186"/>
      <c r="AA14" s="176"/>
      <c r="AB14" s="186"/>
      <c r="AC14" s="185">
        <f t="shared" si="0"/>
        <v>0</v>
      </c>
    </row>
    <row r="15" spans="1:29" ht="24" x14ac:dyDescent="0.25">
      <c r="A15" s="190">
        <v>12</v>
      </c>
      <c r="B15" s="191"/>
      <c r="C15" s="191"/>
      <c r="D15" s="192" t="s">
        <v>20</v>
      </c>
      <c r="G15" s="176"/>
      <c r="H15" s="186"/>
      <c r="I15" s="176"/>
      <c r="J15" s="186"/>
      <c r="K15" s="176"/>
      <c r="L15" s="186"/>
      <c r="M15" s="176"/>
      <c r="N15" s="186"/>
      <c r="O15" s="176"/>
      <c r="P15" s="186"/>
      <c r="Q15" s="168"/>
      <c r="R15" s="186"/>
      <c r="S15" s="176"/>
      <c r="T15" s="186"/>
      <c r="U15" s="176"/>
      <c r="V15" s="186"/>
      <c r="W15" s="176"/>
      <c r="X15" s="186"/>
      <c r="Y15" s="176"/>
      <c r="Z15" s="186"/>
      <c r="AA15" s="176"/>
      <c r="AB15" s="186"/>
      <c r="AC15" s="185">
        <f t="shared" si="0"/>
        <v>0</v>
      </c>
    </row>
    <row r="16" spans="1:29" ht="24" x14ac:dyDescent="0.25">
      <c r="A16" s="190">
        <v>13</v>
      </c>
      <c r="B16" s="191"/>
      <c r="C16" s="191"/>
      <c r="D16" s="192" t="s">
        <v>21</v>
      </c>
      <c r="G16" s="176"/>
      <c r="H16" s="186"/>
      <c r="I16" s="176"/>
      <c r="J16" s="186"/>
      <c r="K16" s="176"/>
      <c r="L16" s="186"/>
      <c r="M16" s="176"/>
      <c r="N16" s="186"/>
      <c r="O16" s="176"/>
      <c r="P16" s="186"/>
      <c r="Q16" s="168"/>
      <c r="R16" s="186"/>
      <c r="S16" s="176"/>
      <c r="T16" s="186"/>
      <c r="U16" s="176"/>
      <c r="V16" s="186"/>
      <c r="W16" s="176"/>
      <c r="X16" s="186"/>
      <c r="Y16" s="176"/>
      <c r="Z16" s="186"/>
      <c r="AA16" s="176"/>
      <c r="AB16" s="186"/>
      <c r="AC16" s="185">
        <f t="shared" si="0"/>
        <v>0</v>
      </c>
    </row>
    <row r="17" spans="1:30" ht="24" x14ac:dyDescent="0.25">
      <c r="A17" s="190">
        <v>14</v>
      </c>
      <c r="B17" s="191"/>
      <c r="C17" s="191"/>
      <c r="D17" s="192" t="s">
        <v>22</v>
      </c>
      <c r="G17" s="176"/>
      <c r="H17" s="186"/>
      <c r="I17" s="176"/>
      <c r="J17" s="186"/>
      <c r="K17" s="176"/>
      <c r="L17" s="186"/>
      <c r="M17" s="176"/>
      <c r="N17" s="186"/>
      <c r="O17" s="176"/>
      <c r="P17" s="186"/>
      <c r="Q17" s="168"/>
      <c r="R17" s="186"/>
      <c r="S17" s="176"/>
      <c r="T17" s="186"/>
      <c r="U17" s="176"/>
      <c r="V17" s="186"/>
      <c r="W17" s="176"/>
      <c r="X17" s="186"/>
      <c r="Y17" s="176"/>
      <c r="Z17" s="186"/>
      <c r="AA17" s="176"/>
      <c r="AB17" s="186"/>
      <c r="AC17" s="185">
        <f t="shared" si="0"/>
        <v>0</v>
      </c>
    </row>
    <row r="18" spans="1:30" ht="24" x14ac:dyDescent="0.25">
      <c r="A18" s="190">
        <v>15</v>
      </c>
      <c r="B18" s="191"/>
      <c r="C18" s="191"/>
      <c r="D18" s="192" t="s">
        <v>23</v>
      </c>
      <c r="G18" s="176"/>
      <c r="H18" s="186"/>
      <c r="I18" s="176"/>
      <c r="J18" s="186"/>
      <c r="K18" s="176"/>
      <c r="L18" s="186"/>
      <c r="M18" s="176"/>
      <c r="N18" s="186"/>
      <c r="O18" s="176"/>
      <c r="P18" s="186"/>
      <c r="Q18" s="168"/>
      <c r="R18" s="186"/>
      <c r="S18" s="176"/>
      <c r="T18" s="186"/>
      <c r="U18" s="176"/>
      <c r="V18" s="186"/>
      <c r="W18" s="176"/>
      <c r="X18" s="186"/>
      <c r="Y18" s="176"/>
      <c r="Z18" s="186"/>
      <c r="AA18" s="176"/>
      <c r="AB18" s="186"/>
      <c r="AC18" s="185">
        <f t="shared" si="0"/>
        <v>0</v>
      </c>
    </row>
    <row r="19" spans="1:30" ht="24" x14ac:dyDescent="0.2">
      <c r="A19" s="174"/>
      <c r="B19" s="175" t="s">
        <v>243</v>
      </c>
      <c r="C19" s="175" t="s">
        <v>248</v>
      </c>
      <c r="D19" s="175" t="s">
        <v>24</v>
      </c>
      <c r="G19" s="176"/>
      <c r="H19" s="186"/>
      <c r="I19" s="176"/>
      <c r="J19" s="186"/>
      <c r="K19" s="176"/>
      <c r="L19" s="186"/>
      <c r="M19" s="176"/>
      <c r="N19" s="186"/>
      <c r="O19" s="176"/>
      <c r="P19" s="186"/>
      <c r="Q19" s="168"/>
      <c r="R19" s="186"/>
      <c r="S19" s="176"/>
      <c r="T19" s="186"/>
      <c r="U19" s="176"/>
      <c r="V19" s="186"/>
      <c r="W19" s="176"/>
      <c r="X19" s="186"/>
      <c r="Y19" s="176"/>
      <c r="Z19" s="186"/>
      <c r="AA19" s="176"/>
      <c r="AB19" s="186"/>
      <c r="AC19" s="185">
        <f t="shared" si="0"/>
        <v>0</v>
      </c>
    </row>
    <row r="20" spans="1:30" ht="24" x14ac:dyDescent="0.25">
      <c r="A20" s="193">
        <v>1</v>
      </c>
      <c r="B20" s="194"/>
      <c r="C20" s="194"/>
      <c r="D20" s="195" t="s">
        <v>25</v>
      </c>
      <c r="G20" s="176"/>
      <c r="H20" s="177"/>
      <c r="I20" s="176"/>
      <c r="J20" s="177"/>
      <c r="K20" s="176"/>
      <c r="L20" s="177"/>
      <c r="M20" s="176"/>
      <c r="N20" s="177"/>
      <c r="O20" s="196"/>
      <c r="P20" s="186"/>
      <c r="Q20" s="168"/>
      <c r="R20" s="177"/>
      <c r="S20" s="176"/>
      <c r="T20" s="186"/>
      <c r="U20" s="176"/>
      <c r="V20" s="186"/>
      <c r="W20" s="176"/>
      <c r="X20" s="177"/>
      <c r="Y20" s="176"/>
      <c r="Z20" s="186"/>
      <c r="AA20" s="176"/>
      <c r="AB20" s="186"/>
      <c r="AC20" s="185">
        <f t="shared" si="0"/>
        <v>0</v>
      </c>
    </row>
    <row r="21" spans="1:30" ht="24" x14ac:dyDescent="0.25">
      <c r="A21" s="193">
        <v>2</v>
      </c>
      <c r="B21" s="194"/>
      <c r="C21" s="194"/>
      <c r="D21" s="195" t="s">
        <v>26</v>
      </c>
      <c r="E21" s="168">
        <v>500</v>
      </c>
      <c r="G21" s="176"/>
      <c r="H21" s="186"/>
      <c r="I21" s="176"/>
      <c r="J21" s="186"/>
      <c r="K21" s="176"/>
      <c r="L21" s="186"/>
      <c r="M21" s="176"/>
      <c r="N21" s="177"/>
      <c r="O21" s="196"/>
      <c r="P21" s="186"/>
      <c r="Q21" s="168"/>
      <c r="R21" s="186"/>
      <c r="S21" s="176"/>
      <c r="T21" s="186"/>
      <c r="U21" s="176"/>
      <c r="V21" s="186"/>
      <c r="W21" s="176"/>
      <c r="X21" s="186"/>
      <c r="Y21" s="176"/>
      <c r="Z21" s="186"/>
      <c r="AA21" s="176"/>
      <c r="AB21" s="186"/>
      <c r="AC21" s="185">
        <f t="shared" si="0"/>
        <v>500</v>
      </c>
    </row>
    <row r="22" spans="1:30" ht="24" x14ac:dyDescent="0.25">
      <c r="A22" s="193">
        <v>3</v>
      </c>
      <c r="B22" s="194"/>
      <c r="C22" s="194"/>
      <c r="D22" s="195" t="s">
        <v>27</v>
      </c>
      <c r="G22" s="176"/>
      <c r="H22" s="186"/>
      <c r="I22" s="176"/>
      <c r="J22" s="186"/>
      <c r="K22" s="176"/>
      <c r="L22" s="186"/>
      <c r="M22" s="176"/>
      <c r="N22" s="186"/>
      <c r="O22" s="176"/>
      <c r="P22" s="186"/>
      <c r="Q22" s="168"/>
      <c r="R22" s="186"/>
      <c r="S22" s="176"/>
      <c r="T22" s="186"/>
      <c r="U22" s="176"/>
      <c r="V22" s="186"/>
      <c r="W22" s="176"/>
      <c r="X22" s="186"/>
      <c r="Y22" s="176"/>
      <c r="Z22" s="186"/>
      <c r="AA22" s="176"/>
      <c r="AB22" s="186"/>
      <c r="AC22" s="185">
        <f t="shared" si="0"/>
        <v>0</v>
      </c>
    </row>
    <row r="23" spans="1:30" ht="24" x14ac:dyDescent="0.25">
      <c r="A23" s="193">
        <v>4</v>
      </c>
      <c r="B23" s="194"/>
      <c r="C23" s="194"/>
      <c r="D23" s="195" t="s">
        <v>28</v>
      </c>
      <c r="G23" s="176"/>
      <c r="H23" s="186"/>
      <c r="I23" s="176"/>
      <c r="J23" s="186"/>
      <c r="K23" s="176"/>
      <c r="L23" s="186"/>
      <c r="M23" s="176"/>
      <c r="N23" s="186"/>
      <c r="O23" s="176"/>
      <c r="P23" s="186"/>
      <c r="Q23" s="168"/>
      <c r="R23" s="186"/>
      <c r="S23" s="176"/>
      <c r="T23" s="186"/>
      <c r="U23" s="176"/>
      <c r="V23" s="186"/>
      <c r="W23" s="176"/>
      <c r="X23" s="186"/>
      <c r="Y23" s="176"/>
      <c r="Z23" s="186"/>
      <c r="AA23" s="176"/>
      <c r="AB23" s="186"/>
      <c r="AC23" s="185">
        <f t="shared" si="0"/>
        <v>0</v>
      </c>
    </row>
    <row r="24" spans="1:30" ht="24" x14ac:dyDescent="0.25">
      <c r="A24" s="193">
        <v>5</v>
      </c>
      <c r="B24" s="194"/>
      <c r="C24" s="194"/>
      <c r="D24" s="195" t="s">
        <v>29</v>
      </c>
      <c r="E24" s="168">
        <v>500</v>
      </c>
      <c r="G24" s="176"/>
      <c r="H24" s="186"/>
      <c r="I24" s="176"/>
      <c r="J24" s="186"/>
      <c r="K24" s="176"/>
      <c r="L24" s="186"/>
      <c r="M24" s="176"/>
      <c r="N24" s="186"/>
      <c r="O24" s="176"/>
      <c r="P24" s="186"/>
      <c r="Q24" s="168"/>
      <c r="R24" s="186"/>
      <c r="S24" s="176"/>
      <c r="T24" s="186"/>
      <c r="U24" s="176"/>
      <c r="V24" s="186"/>
      <c r="W24" s="176"/>
      <c r="X24" s="186"/>
      <c r="Y24" s="176"/>
      <c r="Z24" s="186"/>
      <c r="AA24" s="176"/>
      <c r="AB24" s="186"/>
      <c r="AC24" s="185">
        <f t="shared" si="0"/>
        <v>500</v>
      </c>
      <c r="AD24" s="178" t="s">
        <v>327</v>
      </c>
    </row>
    <row r="25" spans="1:30" ht="24" x14ac:dyDescent="0.25">
      <c r="A25" s="193">
        <v>6</v>
      </c>
      <c r="B25" s="194"/>
      <c r="C25" s="194"/>
      <c r="D25" s="195" t="s">
        <v>30</v>
      </c>
      <c r="G25" s="176"/>
      <c r="H25" s="186"/>
      <c r="I25" s="176"/>
      <c r="J25" s="186"/>
      <c r="K25" s="176"/>
      <c r="L25" s="186"/>
      <c r="M25" s="176"/>
      <c r="N25" s="186"/>
      <c r="O25" s="176"/>
      <c r="P25" s="186"/>
      <c r="Q25" s="168"/>
      <c r="R25" s="186"/>
      <c r="S25" s="176"/>
      <c r="T25" s="186"/>
      <c r="U25" s="176"/>
      <c r="V25" s="186"/>
      <c r="W25" s="176"/>
      <c r="X25" s="186"/>
      <c r="Y25" s="176"/>
      <c r="Z25" s="186"/>
      <c r="AA25" s="176"/>
      <c r="AB25" s="186"/>
      <c r="AC25" s="185">
        <f t="shared" si="0"/>
        <v>0</v>
      </c>
    </row>
    <row r="26" spans="1:30" ht="24" x14ac:dyDescent="0.25">
      <c r="A26" s="193">
        <v>7</v>
      </c>
      <c r="B26" s="194"/>
      <c r="C26" s="194"/>
      <c r="D26" s="195" t="s">
        <v>31</v>
      </c>
      <c r="G26" s="176"/>
      <c r="H26" s="186"/>
      <c r="I26" s="176"/>
      <c r="J26" s="186"/>
      <c r="K26" s="176"/>
      <c r="L26" s="186"/>
      <c r="M26" s="176"/>
      <c r="N26" s="186"/>
      <c r="O26" s="176"/>
      <c r="P26" s="186"/>
      <c r="Q26" s="168"/>
      <c r="R26" s="186"/>
      <c r="S26" s="176"/>
      <c r="T26" s="186"/>
      <c r="U26" s="176"/>
      <c r="V26" s="186"/>
      <c r="W26" s="176"/>
      <c r="X26" s="186"/>
      <c r="Y26" s="176"/>
      <c r="Z26" s="186"/>
      <c r="AA26" s="176"/>
      <c r="AB26" s="186"/>
      <c r="AC26" s="185">
        <f t="shared" si="0"/>
        <v>0</v>
      </c>
    </row>
    <row r="27" spans="1:30" ht="24" x14ac:dyDescent="0.25">
      <c r="A27" s="193">
        <v>8</v>
      </c>
      <c r="B27" s="194"/>
      <c r="C27" s="194"/>
      <c r="D27" s="195" t="s">
        <v>32</v>
      </c>
      <c r="G27" s="176"/>
      <c r="H27" s="186"/>
      <c r="I27" s="176"/>
      <c r="J27" s="186"/>
      <c r="K27" s="176"/>
      <c r="L27" s="186"/>
      <c r="M27" s="176"/>
      <c r="N27" s="186"/>
      <c r="O27" s="176"/>
      <c r="P27" s="186"/>
      <c r="Q27" s="168"/>
      <c r="R27" s="186"/>
      <c r="S27" s="176"/>
      <c r="T27" s="186"/>
      <c r="U27" s="176"/>
      <c r="V27" s="186"/>
      <c r="W27" s="176"/>
      <c r="X27" s="186"/>
      <c r="Y27" s="176"/>
      <c r="Z27" s="186"/>
      <c r="AA27" s="176"/>
      <c r="AB27" s="186"/>
      <c r="AC27" s="185">
        <f t="shared" si="0"/>
        <v>0</v>
      </c>
    </row>
    <row r="28" spans="1:30" ht="24" x14ac:dyDescent="0.25">
      <c r="A28" s="193">
        <v>9</v>
      </c>
      <c r="B28" s="194"/>
      <c r="C28" s="194"/>
      <c r="D28" s="195" t="s">
        <v>33</v>
      </c>
      <c r="G28" s="176"/>
      <c r="H28" s="177"/>
      <c r="I28" s="176"/>
      <c r="J28" s="177"/>
      <c r="K28" s="176"/>
      <c r="L28" s="177"/>
      <c r="M28" s="176"/>
      <c r="N28" s="186"/>
      <c r="O28" s="176"/>
      <c r="P28" s="186"/>
      <c r="Q28" s="168"/>
      <c r="R28" s="177"/>
      <c r="S28" s="176"/>
      <c r="T28" s="186"/>
      <c r="U28" s="176"/>
      <c r="V28" s="186"/>
      <c r="W28" s="176"/>
      <c r="X28" s="177"/>
      <c r="Y28" s="176"/>
      <c r="Z28" s="186"/>
      <c r="AA28" s="176"/>
      <c r="AB28" s="186"/>
      <c r="AC28" s="185">
        <f t="shared" si="0"/>
        <v>0</v>
      </c>
    </row>
    <row r="29" spans="1:30" ht="24" x14ac:dyDescent="0.25">
      <c r="A29" s="193">
        <v>10</v>
      </c>
      <c r="B29" s="194"/>
      <c r="C29" s="194"/>
      <c r="D29" s="195" t="s">
        <v>34</v>
      </c>
      <c r="G29" s="176"/>
      <c r="H29" s="186"/>
      <c r="I29" s="176"/>
      <c r="J29" s="186"/>
      <c r="K29" s="176"/>
      <c r="L29" s="186"/>
      <c r="M29" s="176"/>
      <c r="N29" s="186"/>
      <c r="O29" s="176"/>
      <c r="P29" s="186"/>
      <c r="Q29" s="168"/>
      <c r="R29" s="186"/>
      <c r="S29" s="176"/>
      <c r="T29" s="186"/>
      <c r="U29" s="176"/>
      <c r="V29" s="186"/>
      <c r="W29" s="176"/>
      <c r="X29" s="186"/>
      <c r="Y29" s="176"/>
      <c r="Z29" s="186"/>
      <c r="AA29" s="176"/>
      <c r="AB29" s="186"/>
      <c r="AC29" s="185">
        <f t="shared" si="0"/>
        <v>0</v>
      </c>
    </row>
    <row r="30" spans="1:30" ht="24" x14ac:dyDescent="0.25">
      <c r="A30" s="193">
        <v>11</v>
      </c>
      <c r="B30" s="194"/>
      <c r="C30" s="194"/>
      <c r="D30" s="195" t="s">
        <v>35</v>
      </c>
      <c r="G30" s="176"/>
      <c r="H30" s="186"/>
      <c r="I30" s="176"/>
      <c r="J30" s="186"/>
      <c r="K30" s="176"/>
      <c r="L30" s="186"/>
      <c r="M30" s="176"/>
      <c r="N30" s="186"/>
      <c r="O30" s="176"/>
      <c r="P30" s="186"/>
      <c r="Q30" s="168"/>
      <c r="R30" s="186"/>
      <c r="S30" s="176"/>
      <c r="T30" s="186"/>
      <c r="U30" s="176"/>
      <c r="V30" s="186"/>
      <c r="W30" s="176"/>
      <c r="X30" s="186"/>
      <c r="Y30" s="176"/>
      <c r="Z30" s="186"/>
      <c r="AA30" s="176"/>
      <c r="AB30" s="186"/>
      <c r="AC30" s="185">
        <f t="shared" si="0"/>
        <v>0</v>
      </c>
    </row>
    <row r="31" spans="1:30" ht="24" x14ac:dyDescent="0.25">
      <c r="A31" s="193">
        <v>12</v>
      </c>
      <c r="B31" s="194"/>
      <c r="C31" s="194"/>
      <c r="D31" s="195" t="s">
        <v>36</v>
      </c>
      <c r="G31" s="176"/>
      <c r="H31" s="186"/>
      <c r="I31" s="176"/>
      <c r="J31" s="186"/>
      <c r="K31" s="176"/>
      <c r="L31" s="186"/>
      <c r="M31" s="176"/>
      <c r="N31" s="186"/>
      <c r="O31" s="176"/>
      <c r="P31" s="186"/>
      <c r="Q31" s="168"/>
      <c r="R31" s="186"/>
      <c r="S31" s="176"/>
      <c r="T31" s="186"/>
      <c r="U31" s="176"/>
      <c r="V31" s="186"/>
      <c r="W31" s="176"/>
      <c r="X31" s="186"/>
      <c r="Y31" s="176"/>
      <c r="Z31" s="186"/>
      <c r="AA31" s="176"/>
      <c r="AB31" s="186"/>
      <c r="AC31" s="185">
        <f t="shared" si="0"/>
        <v>0</v>
      </c>
    </row>
    <row r="32" spans="1:30" ht="24" x14ac:dyDescent="0.25">
      <c r="A32" s="193">
        <v>13</v>
      </c>
      <c r="B32" s="194"/>
      <c r="C32" s="194"/>
      <c r="D32" s="195" t="s">
        <v>37</v>
      </c>
      <c r="G32" s="176"/>
      <c r="H32" s="186"/>
      <c r="I32" s="176"/>
      <c r="J32" s="186"/>
      <c r="K32" s="176"/>
      <c r="L32" s="186"/>
      <c r="M32" s="176"/>
      <c r="N32" s="186"/>
      <c r="O32" s="176"/>
      <c r="P32" s="186"/>
      <c r="Q32" s="168"/>
      <c r="R32" s="186"/>
      <c r="S32" s="176"/>
      <c r="T32" s="186"/>
      <c r="U32" s="176"/>
      <c r="V32" s="186"/>
      <c r="W32" s="176"/>
      <c r="X32" s="186"/>
      <c r="Y32" s="176"/>
      <c r="Z32" s="186"/>
      <c r="AA32" s="176"/>
      <c r="AB32" s="186"/>
      <c r="AC32" s="185">
        <f t="shared" si="0"/>
        <v>0</v>
      </c>
    </row>
    <row r="33" spans="1:29" ht="24" x14ac:dyDescent="0.25">
      <c r="A33" s="193">
        <v>14</v>
      </c>
      <c r="B33" s="194"/>
      <c r="C33" s="194"/>
      <c r="D33" s="195" t="s">
        <v>38</v>
      </c>
      <c r="G33" s="176"/>
      <c r="H33" s="186"/>
      <c r="I33" s="176"/>
      <c r="J33" s="186"/>
      <c r="K33" s="176"/>
      <c r="L33" s="186"/>
      <c r="M33" s="176"/>
      <c r="N33" s="186"/>
      <c r="O33" s="176"/>
      <c r="P33" s="186"/>
      <c r="Q33" s="168"/>
      <c r="R33" s="186"/>
      <c r="S33" s="176"/>
      <c r="T33" s="186"/>
      <c r="U33" s="176"/>
      <c r="V33" s="186"/>
      <c r="W33" s="176"/>
      <c r="X33" s="186"/>
      <c r="Y33" s="176"/>
      <c r="Z33" s="186"/>
      <c r="AA33" s="176"/>
      <c r="AB33" s="186"/>
      <c r="AC33" s="185">
        <f t="shared" si="0"/>
        <v>0</v>
      </c>
    </row>
    <row r="34" spans="1:29" ht="24" x14ac:dyDescent="0.25">
      <c r="A34" s="193">
        <v>15</v>
      </c>
      <c r="B34" s="194"/>
      <c r="C34" s="194"/>
      <c r="D34" s="195" t="s">
        <v>39</v>
      </c>
      <c r="G34" s="176"/>
      <c r="H34" s="186"/>
      <c r="I34" s="176"/>
      <c r="J34" s="186"/>
      <c r="K34" s="176"/>
      <c r="L34" s="186"/>
      <c r="M34" s="176"/>
      <c r="N34" s="186"/>
      <c r="O34" s="176"/>
      <c r="P34" s="186"/>
      <c r="Q34" s="168"/>
      <c r="R34" s="186"/>
      <c r="S34" s="176"/>
      <c r="T34" s="186"/>
      <c r="U34" s="176"/>
      <c r="V34" s="186"/>
      <c r="W34" s="176"/>
      <c r="X34" s="186"/>
      <c r="Y34" s="176"/>
      <c r="Z34" s="186"/>
      <c r="AA34" s="176"/>
      <c r="AB34" s="186"/>
      <c r="AC34" s="185">
        <f t="shared" si="0"/>
        <v>0</v>
      </c>
    </row>
    <row r="35" spans="1:29" ht="24" x14ac:dyDescent="0.25">
      <c r="A35" s="193">
        <v>16</v>
      </c>
      <c r="B35" s="194"/>
      <c r="C35" s="194"/>
      <c r="D35" s="195" t="s">
        <v>40</v>
      </c>
      <c r="G35" s="176"/>
      <c r="H35" s="186"/>
      <c r="I35" s="176"/>
      <c r="J35" s="186"/>
      <c r="K35" s="176"/>
      <c r="L35" s="186"/>
      <c r="M35" s="176"/>
      <c r="N35" s="186"/>
      <c r="O35" s="176"/>
      <c r="P35" s="186"/>
      <c r="Q35" s="168"/>
      <c r="R35" s="186"/>
      <c r="S35" s="176"/>
      <c r="T35" s="186"/>
      <c r="U35" s="176"/>
      <c r="V35" s="186"/>
      <c r="W35" s="176"/>
      <c r="X35" s="186"/>
      <c r="Y35" s="176"/>
      <c r="Z35" s="186"/>
      <c r="AA35" s="176"/>
      <c r="AB35" s="186"/>
      <c r="AC35" s="185">
        <f t="shared" si="0"/>
        <v>0</v>
      </c>
    </row>
    <row r="36" spans="1:29" ht="24" x14ac:dyDescent="0.25">
      <c r="A36" s="193">
        <v>17</v>
      </c>
      <c r="B36" s="194"/>
      <c r="C36" s="194"/>
      <c r="D36" s="195" t="s">
        <v>41</v>
      </c>
      <c r="G36" s="176"/>
      <c r="H36" s="186"/>
      <c r="I36" s="176"/>
      <c r="J36" s="186"/>
      <c r="K36" s="176"/>
      <c r="L36" s="186"/>
      <c r="M36" s="176"/>
      <c r="N36" s="186"/>
      <c r="O36" s="176"/>
      <c r="P36" s="186"/>
      <c r="Q36" s="168"/>
      <c r="R36" s="186"/>
      <c r="S36" s="176"/>
      <c r="T36" s="186"/>
      <c r="U36" s="176"/>
      <c r="V36" s="186"/>
      <c r="W36" s="176"/>
      <c r="X36" s="186"/>
      <c r="Y36" s="176"/>
      <c r="Z36" s="186"/>
      <c r="AA36" s="176"/>
      <c r="AB36" s="186"/>
      <c r="AC36" s="185">
        <f t="shared" si="0"/>
        <v>0</v>
      </c>
    </row>
    <row r="37" spans="1:29" ht="24" x14ac:dyDescent="0.25">
      <c r="A37" s="193">
        <v>18</v>
      </c>
      <c r="B37" s="194"/>
      <c r="C37" s="194"/>
      <c r="D37" s="195" t="s">
        <v>42</v>
      </c>
      <c r="G37" s="176"/>
      <c r="H37" s="186"/>
      <c r="I37" s="176"/>
      <c r="J37" s="186"/>
      <c r="K37" s="176"/>
      <c r="L37" s="186"/>
      <c r="M37" s="176"/>
      <c r="N37" s="186"/>
      <c r="O37" s="176"/>
      <c r="P37" s="186"/>
      <c r="Q37" s="168"/>
      <c r="R37" s="186"/>
      <c r="S37" s="176"/>
      <c r="T37" s="186"/>
      <c r="U37" s="176"/>
      <c r="V37" s="186"/>
      <c r="W37" s="176"/>
      <c r="X37" s="186"/>
      <c r="Y37" s="176"/>
      <c r="Z37" s="186"/>
      <c r="AA37" s="176"/>
      <c r="AB37" s="186"/>
      <c r="AC37" s="185">
        <f t="shared" si="0"/>
        <v>0</v>
      </c>
    </row>
    <row r="38" spans="1:29" ht="24" x14ac:dyDescent="0.25">
      <c r="A38" s="193">
        <v>19</v>
      </c>
      <c r="B38" s="194"/>
      <c r="C38" s="194"/>
      <c r="D38" s="195" t="s">
        <v>43</v>
      </c>
      <c r="G38" s="176"/>
      <c r="H38" s="186"/>
      <c r="I38" s="176"/>
      <c r="J38" s="186"/>
      <c r="K38" s="176"/>
      <c r="L38" s="186"/>
      <c r="M38" s="176"/>
      <c r="N38" s="186"/>
      <c r="O38" s="176"/>
      <c r="P38" s="186"/>
      <c r="Q38" s="168"/>
      <c r="R38" s="186"/>
      <c r="S38" s="176"/>
      <c r="T38" s="186"/>
      <c r="U38" s="176"/>
      <c r="V38" s="186"/>
      <c r="W38" s="176"/>
      <c r="X38" s="186"/>
      <c r="Y38" s="176"/>
      <c r="Z38" s="186"/>
      <c r="AA38" s="176"/>
      <c r="AB38" s="186"/>
      <c r="AC38" s="185">
        <f t="shared" si="0"/>
        <v>0</v>
      </c>
    </row>
    <row r="39" spans="1:29" ht="24" x14ac:dyDescent="0.25">
      <c r="A39" s="193">
        <v>20</v>
      </c>
      <c r="B39" s="194"/>
      <c r="C39" s="194"/>
      <c r="D39" s="195" t="s">
        <v>44</v>
      </c>
      <c r="E39" s="168">
        <v>500</v>
      </c>
      <c r="G39" s="176"/>
      <c r="H39" s="186"/>
      <c r="I39" s="176"/>
      <c r="J39" s="186"/>
      <c r="K39" s="176"/>
      <c r="L39" s="186"/>
      <c r="M39" s="176"/>
      <c r="N39" s="186"/>
      <c r="O39" s="176"/>
      <c r="P39" s="186"/>
      <c r="Q39" s="168"/>
      <c r="R39" s="186"/>
      <c r="S39" s="176"/>
      <c r="T39" s="186"/>
      <c r="U39" s="176"/>
      <c r="V39" s="186"/>
      <c r="W39" s="176"/>
      <c r="X39" s="186"/>
      <c r="Y39" s="176"/>
      <c r="Z39" s="186"/>
      <c r="AA39" s="176"/>
      <c r="AB39" s="186"/>
      <c r="AC39" s="185">
        <f t="shared" si="0"/>
        <v>500</v>
      </c>
    </row>
    <row r="40" spans="1:29" ht="24" x14ac:dyDescent="0.25">
      <c r="A40" s="193">
        <v>21</v>
      </c>
      <c r="B40" s="194"/>
      <c r="C40" s="194"/>
      <c r="D40" s="195" t="s">
        <v>45</v>
      </c>
      <c r="G40" s="176"/>
      <c r="H40" s="186"/>
      <c r="I40" s="176"/>
      <c r="J40" s="186"/>
      <c r="K40" s="176"/>
      <c r="L40" s="186"/>
      <c r="M40" s="176"/>
      <c r="N40" s="186"/>
      <c r="O40" s="176"/>
      <c r="P40" s="186"/>
      <c r="Q40" s="168"/>
      <c r="R40" s="186"/>
      <c r="S40" s="176"/>
      <c r="T40" s="186"/>
      <c r="U40" s="176"/>
      <c r="V40" s="186"/>
      <c r="W40" s="176"/>
      <c r="X40" s="186"/>
      <c r="Y40" s="176"/>
      <c r="Z40" s="186"/>
      <c r="AA40" s="176"/>
      <c r="AB40" s="186"/>
      <c r="AC40" s="185">
        <f t="shared" si="0"/>
        <v>0</v>
      </c>
    </row>
    <row r="41" spans="1:29" ht="24" x14ac:dyDescent="0.25">
      <c r="A41" s="193">
        <v>22</v>
      </c>
      <c r="B41" s="194"/>
      <c r="C41" s="194"/>
      <c r="D41" s="195" t="s">
        <v>46</v>
      </c>
      <c r="G41" s="176"/>
      <c r="H41" s="177"/>
      <c r="I41" s="176"/>
      <c r="J41" s="177"/>
      <c r="K41" s="176"/>
      <c r="L41" s="177"/>
      <c r="M41" s="176"/>
      <c r="N41" s="186"/>
      <c r="O41" s="176"/>
      <c r="P41" s="186"/>
      <c r="Q41" s="168"/>
      <c r="R41" s="177"/>
      <c r="S41" s="176"/>
      <c r="T41" s="186"/>
      <c r="U41" s="176"/>
      <c r="V41" s="186"/>
      <c r="W41" s="176"/>
      <c r="X41" s="177"/>
      <c r="Y41" s="176"/>
      <c r="Z41" s="186"/>
      <c r="AA41" s="176"/>
      <c r="AB41" s="186"/>
      <c r="AC41" s="185">
        <f t="shared" si="0"/>
        <v>0</v>
      </c>
    </row>
    <row r="42" spans="1:29" ht="24" x14ac:dyDescent="0.25">
      <c r="A42" s="193">
        <v>23</v>
      </c>
      <c r="B42" s="194"/>
      <c r="C42" s="194"/>
      <c r="D42" s="195" t="s">
        <v>47</v>
      </c>
      <c r="G42" s="176"/>
      <c r="H42" s="186"/>
      <c r="I42" s="176"/>
      <c r="J42" s="186"/>
      <c r="K42" s="176"/>
      <c r="L42" s="186"/>
      <c r="M42" s="176"/>
      <c r="N42" s="186"/>
      <c r="O42" s="176"/>
      <c r="P42" s="186"/>
      <c r="Q42" s="168"/>
      <c r="R42" s="186"/>
      <c r="S42" s="176"/>
      <c r="T42" s="186"/>
      <c r="U42" s="176"/>
      <c r="V42" s="186"/>
      <c r="W42" s="176"/>
      <c r="X42" s="186"/>
      <c r="Y42" s="176"/>
      <c r="Z42" s="186"/>
      <c r="AA42" s="176"/>
      <c r="AB42" s="186"/>
      <c r="AC42" s="185">
        <f t="shared" si="0"/>
        <v>0</v>
      </c>
    </row>
    <row r="43" spans="1:29" ht="24" x14ac:dyDescent="0.25">
      <c r="A43" s="193">
        <v>24</v>
      </c>
      <c r="B43" s="194"/>
      <c r="C43" s="194"/>
      <c r="D43" s="195" t="s">
        <v>48</v>
      </c>
      <c r="G43" s="176"/>
      <c r="H43" s="186"/>
      <c r="I43" s="176"/>
      <c r="J43" s="186"/>
      <c r="K43" s="176"/>
      <c r="L43" s="186"/>
      <c r="M43" s="176"/>
      <c r="N43" s="186"/>
      <c r="O43" s="176"/>
      <c r="P43" s="186"/>
      <c r="Q43" s="168"/>
      <c r="R43" s="186"/>
      <c r="S43" s="176"/>
      <c r="T43" s="186"/>
      <c r="U43" s="176"/>
      <c r="V43" s="186"/>
      <c r="W43" s="176"/>
      <c r="X43" s="186"/>
      <c r="Y43" s="176"/>
      <c r="Z43" s="186"/>
      <c r="AA43" s="176"/>
      <c r="AB43" s="186"/>
      <c r="AC43" s="185">
        <f t="shared" si="0"/>
        <v>0</v>
      </c>
    </row>
    <row r="44" spans="1:29" ht="24" x14ac:dyDescent="0.25">
      <c r="A44" s="193">
        <v>25</v>
      </c>
      <c r="B44" s="194"/>
      <c r="C44" s="194"/>
      <c r="D44" s="195" t="s">
        <v>49</v>
      </c>
      <c r="G44" s="176"/>
      <c r="H44" s="186"/>
      <c r="I44" s="176"/>
      <c r="J44" s="186"/>
      <c r="K44" s="176"/>
      <c r="L44" s="186"/>
      <c r="M44" s="176"/>
      <c r="N44" s="177"/>
      <c r="O44" s="176"/>
      <c r="P44" s="186"/>
      <c r="Q44" s="168"/>
      <c r="R44" s="186"/>
      <c r="S44" s="176"/>
      <c r="T44" s="186"/>
      <c r="U44" s="176"/>
      <c r="V44" s="186"/>
      <c r="W44" s="176"/>
      <c r="X44" s="186"/>
      <c r="Y44" s="176"/>
      <c r="Z44" s="186"/>
      <c r="AA44" s="176"/>
      <c r="AB44" s="186"/>
      <c r="AC44" s="185">
        <f t="shared" si="0"/>
        <v>0</v>
      </c>
    </row>
    <row r="45" spans="1:29" ht="24" x14ac:dyDescent="0.2">
      <c r="A45" s="374"/>
      <c r="B45" s="374"/>
      <c r="C45" s="374"/>
      <c r="D45" s="374"/>
      <c r="G45" s="176"/>
      <c r="H45" s="186"/>
      <c r="I45" s="176"/>
      <c r="J45" s="186"/>
      <c r="K45" s="176"/>
      <c r="L45" s="186"/>
      <c r="M45" s="176"/>
      <c r="N45" s="186"/>
      <c r="O45" s="176"/>
      <c r="P45" s="186"/>
      <c r="Q45" s="168"/>
      <c r="R45" s="186"/>
      <c r="S45" s="176"/>
      <c r="T45" s="186"/>
      <c r="U45" s="176"/>
      <c r="V45" s="186"/>
      <c r="W45" s="176"/>
      <c r="X45" s="186"/>
      <c r="Y45" s="176"/>
      <c r="Z45" s="186"/>
      <c r="AA45" s="176"/>
      <c r="AB45" s="186"/>
      <c r="AC45" s="185">
        <f t="shared" si="0"/>
        <v>0</v>
      </c>
    </row>
    <row r="46" spans="1:29" ht="24" x14ac:dyDescent="0.2">
      <c r="A46" s="197"/>
      <c r="B46" s="174" t="s">
        <v>243</v>
      </c>
      <c r="C46" s="174"/>
      <c r="D46" s="174" t="s">
        <v>50</v>
      </c>
      <c r="G46" s="176"/>
      <c r="H46" s="186"/>
      <c r="I46" s="176"/>
      <c r="J46" s="186"/>
      <c r="K46" s="176"/>
      <c r="L46" s="186"/>
      <c r="M46" s="176"/>
      <c r="N46" s="186"/>
      <c r="O46" s="176"/>
      <c r="P46" s="186"/>
      <c r="Q46" s="168"/>
      <c r="R46" s="186"/>
      <c r="S46" s="176"/>
      <c r="T46" s="186"/>
      <c r="U46" s="176"/>
      <c r="V46" s="186"/>
      <c r="W46" s="176"/>
      <c r="X46" s="186"/>
      <c r="Y46" s="176"/>
      <c r="Z46" s="186"/>
      <c r="AA46" s="176"/>
      <c r="AB46" s="186"/>
      <c r="AC46" s="185">
        <f t="shared" si="0"/>
        <v>0</v>
      </c>
    </row>
    <row r="47" spans="1:29" ht="24" x14ac:dyDescent="0.25">
      <c r="A47" s="198">
        <v>1</v>
      </c>
      <c r="B47" s="198"/>
      <c r="C47" s="198"/>
      <c r="D47" s="199" t="s">
        <v>51</v>
      </c>
      <c r="G47" s="196"/>
      <c r="H47" s="186"/>
      <c r="I47" s="196"/>
      <c r="J47" s="186"/>
      <c r="K47" s="196"/>
      <c r="L47" s="186"/>
      <c r="M47" s="196"/>
      <c r="N47" s="186"/>
      <c r="O47" s="176"/>
      <c r="P47" s="186"/>
      <c r="Q47" s="168"/>
      <c r="R47" s="186"/>
      <c r="S47" s="176"/>
      <c r="T47" s="186"/>
      <c r="U47" s="176"/>
      <c r="V47" s="186"/>
      <c r="W47" s="176"/>
      <c r="X47" s="186"/>
      <c r="Y47" s="176"/>
      <c r="Z47" s="186"/>
      <c r="AA47" s="176"/>
      <c r="AB47" s="186"/>
      <c r="AC47" s="185">
        <f t="shared" si="0"/>
        <v>0</v>
      </c>
    </row>
    <row r="48" spans="1:29" ht="24" x14ac:dyDescent="0.25">
      <c r="A48" s="200">
        <v>2</v>
      </c>
      <c r="B48" s="200"/>
      <c r="C48" s="200"/>
      <c r="D48" s="200" t="s">
        <v>52</v>
      </c>
      <c r="G48" s="196"/>
      <c r="H48" s="186"/>
      <c r="I48" s="196"/>
      <c r="J48" s="186"/>
      <c r="K48" s="196"/>
      <c r="L48" s="186"/>
      <c r="M48" s="196"/>
      <c r="N48" s="186"/>
      <c r="O48" s="176"/>
      <c r="P48" s="186"/>
      <c r="Q48" s="168"/>
      <c r="R48" s="186"/>
      <c r="S48" s="176"/>
      <c r="T48" s="186"/>
      <c r="U48" s="176"/>
      <c r="V48" s="186"/>
      <c r="W48" s="176"/>
      <c r="X48" s="186"/>
      <c r="Y48" s="176"/>
      <c r="Z48" s="186"/>
      <c r="AA48" s="176"/>
      <c r="AB48" s="186"/>
      <c r="AC48" s="185">
        <f t="shared" si="0"/>
        <v>0</v>
      </c>
    </row>
    <row r="49" spans="1:29" ht="24" x14ac:dyDescent="0.25">
      <c r="A49" s="201">
        <v>3</v>
      </c>
      <c r="B49" s="201"/>
      <c r="C49" s="201"/>
      <c r="D49" s="201" t="s">
        <v>53</v>
      </c>
      <c r="G49" s="196"/>
      <c r="H49" s="186"/>
      <c r="I49" s="196"/>
      <c r="J49" s="186"/>
      <c r="K49" s="196"/>
      <c r="L49" s="186"/>
      <c r="M49" s="196"/>
      <c r="N49" s="186"/>
      <c r="O49" s="176"/>
      <c r="P49" s="186"/>
      <c r="Q49" s="168"/>
      <c r="R49" s="186"/>
      <c r="S49" s="176"/>
      <c r="T49" s="186"/>
      <c r="U49" s="176"/>
      <c r="V49" s="186"/>
      <c r="W49" s="176"/>
      <c r="X49" s="186"/>
      <c r="Y49" s="176"/>
      <c r="Z49" s="186"/>
      <c r="AA49" s="176"/>
      <c r="AB49" s="186"/>
      <c r="AC49" s="185">
        <f t="shared" si="0"/>
        <v>0</v>
      </c>
    </row>
    <row r="50" spans="1:29" ht="24" x14ac:dyDescent="0.25">
      <c r="A50" s="202">
        <v>4</v>
      </c>
      <c r="B50" s="202"/>
      <c r="C50" s="202"/>
      <c r="D50" s="202" t="s">
        <v>54</v>
      </c>
      <c r="G50" s="196"/>
      <c r="H50" s="186"/>
      <c r="I50" s="196"/>
      <c r="J50" s="186"/>
      <c r="K50" s="196"/>
      <c r="L50" s="186"/>
      <c r="M50" s="196"/>
      <c r="N50" s="186"/>
      <c r="O50" s="176"/>
      <c r="P50" s="186"/>
      <c r="Q50" s="168"/>
      <c r="R50" s="186"/>
      <c r="S50" s="176"/>
      <c r="T50" s="186"/>
      <c r="U50" s="176"/>
      <c r="V50" s="186"/>
      <c r="W50" s="176"/>
      <c r="X50" s="186"/>
      <c r="Y50" s="176"/>
      <c r="Z50" s="186"/>
      <c r="AA50" s="176"/>
      <c r="AB50" s="186"/>
      <c r="AC50" s="185">
        <f t="shared" si="0"/>
        <v>0</v>
      </c>
    </row>
    <row r="51" spans="1:29" ht="24" x14ac:dyDescent="0.25">
      <c r="A51" s="203">
        <v>5</v>
      </c>
      <c r="B51" s="203"/>
      <c r="C51" s="203"/>
      <c r="D51" s="203" t="s">
        <v>55</v>
      </c>
      <c r="G51" s="204"/>
      <c r="H51" s="186"/>
      <c r="I51" s="204"/>
      <c r="J51" s="186"/>
      <c r="K51" s="204"/>
      <c r="L51" s="186"/>
      <c r="M51" s="204"/>
      <c r="N51" s="186"/>
      <c r="O51" s="176"/>
      <c r="P51" s="205"/>
      <c r="Q51" s="168"/>
      <c r="R51" s="186"/>
      <c r="S51" s="176"/>
      <c r="T51" s="205"/>
      <c r="U51" s="205"/>
      <c r="V51" s="205"/>
      <c r="W51" s="205"/>
      <c r="X51" s="186"/>
      <c r="Y51" s="205"/>
      <c r="Z51" s="205"/>
      <c r="AA51" s="205"/>
      <c r="AB51" s="205"/>
      <c r="AC51" s="185">
        <f t="shared" si="0"/>
        <v>0</v>
      </c>
    </row>
    <row r="52" spans="1:29" ht="24" x14ac:dyDescent="0.25">
      <c r="A52" s="206">
        <v>6</v>
      </c>
      <c r="B52" s="206"/>
      <c r="C52" s="206"/>
      <c r="D52" s="206" t="s">
        <v>56</v>
      </c>
      <c r="G52" s="196"/>
      <c r="H52" s="186"/>
      <c r="I52" s="196"/>
      <c r="J52" s="186"/>
      <c r="K52" s="196"/>
      <c r="L52" s="186"/>
      <c r="M52" s="196"/>
      <c r="N52" s="186"/>
      <c r="O52" s="176"/>
      <c r="P52" s="186"/>
      <c r="Q52" s="168"/>
      <c r="R52" s="186"/>
      <c r="S52" s="176"/>
      <c r="T52" s="186"/>
      <c r="U52" s="176"/>
      <c r="V52" s="205"/>
      <c r="W52" s="176"/>
      <c r="X52" s="186"/>
      <c r="Y52" s="176"/>
      <c r="Z52" s="186"/>
      <c r="AA52" s="176"/>
      <c r="AB52" s="186"/>
      <c r="AC52" s="185">
        <f t="shared" si="0"/>
        <v>0</v>
      </c>
    </row>
    <row r="53" spans="1:29" ht="24" x14ac:dyDescent="0.25">
      <c r="A53" s="207">
        <v>7</v>
      </c>
      <c r="B53" s="207"/>
      <c r="C53" s="207"/>
      <c r="D53" s="207" t="s">
        <v>57</v>
      </c>
      <c r="G53" s="196"/>
      <c r="H53" s="186"/>
      <c r="I53" s="196"/>
      <c r="J53" s="186"/>
      <c r="K53" s="196"/>
      <c r="L53" s="186"/>
      <c r="M53" s="196"/>
      <c r="N53" s="186"/>
      <c r="O53" s="176"/>
      <c r="P53" s="186"/>
      <c r="Q53" s="168"/>
      <c r="R53" s="186"/>
      <c r="S53" s="176"/>
      <c r="T53" s="186"/>
      <c r="U53" s="176"/>
      <c r="V53" s="186"/>
      <c r="W53" s="176"/>
      <c r="X53" s="186"/>
      <c r="Y53" s="176"/>
      <c r="Z53" s="186"/>
      <c r="AA53" s="176"/>
      <c r="AB53" s="186"/>
      <c r="AC53" s="185">
        <f t="shared" si="0"/>
        <v>0</v>
      </c>
    </row>
    <row r="54" spans="1:29" ht="24" x14ac:dyDescent="0.25">
      <c r="A54" s="208">
        <v>8</v>
      </c>
      <c r="B54" s="208"/>
      <c r="C54" s="208"/>
      <c r="D54" s="208" t="s">
        <v>58</v>
      </c>
      <c r="G54" s="196"/>
      <c r="H54" s="186"/>
      <c r="I54" s="196"/>
      <c r="J54" s="186"/>
      <c r="K54" s="196"/>
      <c r="L54" s="186"/>
      <c r="M54" s="196"/>
      <c r="N54" s="186"/>
      <c r="O54" s="176"/>
      <c r="P54" s="186"/>
      <c r="Q54" s="168"/>
      <c r="R54" s="186"/>
      <c r="S54" s="176"/>
      <c r="T54" s="186"/>
      <c r="U54" s="176"/>
      <c r="V54" s="186"/>
      <c r="W54" s="176"/>
      <c r="X54" s="186"/>
      <c r="Y54" s="176"/>
      <c r="Z54" s="186"/>
      <c r="AA54" s="176"/>
      <c r="AB54" s="186"/>
      <c r="AC54" s="185">
        <f t="shared" si="0"/>
        <v>0</v>
      </c>
    </row>
    <row r="55" spans="1:29" ht="24" x14ac:dyDescent="0.25">
      <c r="A55" s="199">
        <v>9</v>
      </c>
      <c r="B55" s="199"/>
      <c r="C55" s="199"/>
      <c r="D55" s="199" t="s">
        <v>59</v>
      </c>
      <c r="G55" s="196"/>
      <c r="H55" s="186"/>
      <c r="I55" s="196"/>
      <c r="J55" s="186"/>
      <c r="K55" s="196"/>
      <c r="L55" s="186"/>
      <c r="M55" s="196"/>
      <c r="N55" s="186"/>
      <c r="O55" s="176"/>
      <c r="P55" s="186"/>
      <c r="Q55" s="168"/>
      <c r="R55" s="186"/>
      <c r="S55" s="176"/>
      <c r="T55" s="186"/>
      <c r="U55" s="176"/>
      <c r="V55" s="186"/>
      <c r="W55" s="176"/>
      <c r="X55" s="186"/>
      <c r="Y55" s="176"/>
      <c r="Z55" s="186"/>
      <c r="AA55" s="176"/>
      <c r="AB55" s="186"/>
      <c r="AC55" s="185">
        <f t="shared" si="0"/>
        <v>0</v>
      </c>
    </row>
    <row r="56" spans="1:29" ht="24" x14ac:dyDescent="0.25">
      <c r="A56" s="199"/>
      <c r="B56" s="199"/>
      <c r="C56" s="199"/>
      <c r="D56" s="199"/>
      <c r="G56" s="196"/>
      <c r="H56" s="186"/>
      <c r="I56" s="196"/>
      <c r="J56" s="186"/>
      <c r="K56" s="196"/>
      <c r="L56" s="186"/>
      <c r="M56" s="196"/>
      <c r="N56" s="186"/>
      <c r="O56" s="176"/>
      <c r="P56" s="186"/>
      <c r="Q56" s="168"/>
      <c r="R56" s="186"/>
      <c r="S56" s="176"/>
      <c r="T56" s="186"/>
      <c r="U56" s="176"/>
      <c r="V56" s="186"/>
      <c r="W56" s="176"/>
      <c r="X56" s="186"/>
      <c r="Y56" s="176"/>
      <c r="Z56" s="186"/>
      <c r="AA56" s="176"/>
      <c r="AB56" s="186"/>
      <c r="AC56" s="185">
        <f t="shared" si="0"/>
        <v>0</v>
      </c>
    </row>
    <row r="57" spans="1:29" ht="24" x14ac:dyDescent="0.25">
      <c r="A57" s="199"/>
      <c r="B57" s="199"/>
      <c r="C57" s="199"/>
      <c r="D57" s="209" t="s">
        <v>324</v>
      </c>
      <c r="G57" s="196"/>
      <c r="H57" s="186"/>
      <c r="I57" s="196"/>
      <c r="J57" s="186"/>
      <c r="K57" s="196"/>
      <c r="L57" s="186"/>
      <c r="M57" s="196"/>
      <c r="N57" s="186"/>
      <c r="O57" s="176"/>
      <c r="P57" s="186"/>
      <c r="Q57" s="168"/>
      <c r="R57" s="186"/>
      <c r="S57" s="176"/>
      <c r="T57" s="186"/>
      <c r="U57" s="176"/>
      <c r="V57" s="186"/>
      <c r="W57" s="176"/>
      <c r="X57" s="186"/>
      <c r="Y57" s="176"/>
      <c r="Z57" s="186"/>
      <c r="AA57" s="176"/>
      <c r="AB57" s="186"/>
      <c r="AC57" s="185">
        <f t="shared" si="0"/>
        <v>0</v>
      </c>
    </row>
    <row r="58" spans="1:29" ht="24" x14ac:dyDescent="0.25">
      <c r="A58" s="199">
        <v>1</v>
      </c>
      <c r="B58" s="199"/>
      <c r="C58" s="199"/>
      <c r="D58" s="210" t="s">
        <v>314</v>
      </c>
      <c r="G58" s="196"/>
      <c r="H58" s="186"/>
      <c r="I58" s="196"/>
      <c r="J58" s="186"/>
      <c r="K58" s="196"/>
      <c r="L58" s="186"/>
      <c r="M58" s="196"/>
      <c r="N58" s="186"/>
      <c r="O58" s="176"/>
      <c r="P58" s="186"/>
      <c r="Q58" s="168"/>
      <c r="R58" s="186"/>
      <c r="S58" s="176"/>
      <c r="T58" s="186"/>
      <c r="U58" s="176"/>
      <c r="V58" s="186"/>
      <c r="W58" s="176"/>
      <c r="X58" s="186"/>
      <c r="Y58" s="176"/>
      <c r="Z58" s="186"/>
      <c r="AA58" s="176"/>
      <c r="AB58" s="186"/>
      <c r="AC58" s="185">
        <f t="shared" si="0"/>
        <v>0</v>
      </c>
    </row>
    <row r="59" spans="1:29" ht="24" x14ac:dyDescent="0.25">
      <c r="A59" s="199">
        <v>2</v>
      </c>
      <c r="B59" s="199"/>
      <c r="C59" s="199"/>
      <c r="D59" s="211" t="s">
        <v>315</v>
      </c>
      <c r="G59" s="196"/>
      <c r="H59" s="186"/>
      <c r="I59" s="196"/>
      <c r="J59" s="186"/>
      <c r="K59" s="196"/>
      <c r="L59" s="186"/>
      <c r="M59" s="196"/>
      <c r="N59" s="186"/>
      <c r="O59" s="176"/>
      <c r="P59" s="186"/>
      <c r="Q59" s="168"/>
      <c r="R59" s="186"/>
      <c r="S59" s="176"/>
      <c r="T59" s="186"/>
      <c r="U59" s="176"/>
      <c r="V59" s="186"/>
      <c r="W59" s="176"/>
      <c r="X59" s="186"/>
      <c r="Y59" s="176"/>
      <c r="Z59" s="186"/>
      <c r="AA59" s="176"/>
      <c r="AB59" s="186"/>
      <c r="AC59" s="185">
        <f t="shared" si="0"/>
        <v>0</v>
      </c>
    </row>
    <row r="60" spans="1:29" ht="24" x14ac:dyDescent="0.25">
      <c r="A60" s="199">
        <v>3</v>
      </c>
      <c r="B60" s="199"/>
      <c r="C60" s="199"/>
      <c r="D60" s="211" t="s">
        <v>316</v>
      </c>
      <c r="G60" s="196"/>
      <c r="H60" s="186"/>
      <c r="I60" s="196"/>
      <c r="J60" s="186"/>
      <c r="K60" s="196"/>
      <c r="L60" s="186"/>
      <c r="M60" s="196"/>
      <c r="N60" s="186"/>
      <c r="O60" s="176"/>
      <c r="P60" s="186"/>
      <c r="Q60" s="168"/>
      <c r="R60" s="186"/>
      <c r="S60" s="176"/>
      <c r="T60" s="186"/>
      <c r="U60" s="176"/>
      <c r="V60" s="186"/>
      <c r="W60" s="176"/>
      <c r="X60" s="186"/>
      <c r="Y60" s="176"/>
      <c r="Z60" s="186"/>
      <c r="AA60" s="176"/>
      <c r="AB60" s="186"/>
      <c r="AC60" s="185">
        <f t="shared" si="0"/>
        <v>0</v>
      </c>
    </row>
    <row r="61" spans="1:29" ht="24" x14ac:dyDescent="0.25">
      <c r="A61" s="199">
        <v>4</v>
      </c>
      <c r="B61" s="199"/>
      <c r="C61" s="199"/>
      <c r="D61" s="211" t="s">
        <v>317</v>
      </c>
      <c r="G61" s="196"/>
      <c r="H61" s="186"/>
      <c r="I61" s="196"/>
      <c r="J61" s="186"/>
      <c r="K61" s="196"/>
      <c r="L61" s="186"/>
      <c r="M61" s="196"/>
      <c r="N61" s="186"/>
      <c r="O61" s="176"/>
      <c r="P61" s="186"/>
      <c r="Q61" s="168"/>
      <c r="R61" s="186"/>
      <c r="S61" s="176"/>
      <c r="T61" s="186"/>
      <c r="U61" s="176"/>
      <c r="V61" s="186"/>
      <c r="W61" s="176"/>
      <c r="X61" s="186"/>
      <c r="Y61" s="176"/>
      <c r="Z61" s="186"/>
      <c r="AA61" s="176"/>
      <c r="AB61" s="186"/>
      <c r="AC61" s="185">
        <f t="shared" si="0"/>
        <v>0</v>
      </c>
    </row>
    <row r="62" spans="1:29" ht="24" x14ac:dyDescent="0.25">
      <c r="A62" s="199">
        <v>5</v>
      </c>
      <c r="B62" s="199"/>
      <c r="C62" s="199"/>
      <c r="D62" s="211" t="s">
        <v>318</v>
      </c>
      <c r="G62" s="196"/>
      <c r="H62" s="186"/>
      <c r="I62" s="196"/>
      <c r="J62" s="186"/>
      <c r="K62" s="196"/>
      <c r="L62" s="186"/>
      <c r="M62" s="196"/>
      <c r="N62" s="186"/>
      <c r="O62" s="176"/>
      <c r="P62" s="186"/>
      <c r="Q62" s="168"/>
      <c r="R62" s="186"/>
      <c r="S62" s="176"/>
      <c r="T62" s="186"/>
      <c r="U62" s="176"/>
      <c r="V62" s="186"/>
      <c r="W62" s="176"/>
      <c r="X62" s="186"/>
      <c r="Y62" s="176"/>
      <c r="Z62" s="186"/>
      <c r="AA62" s="176"/>
      <c r="AB62" s="186"/>
      <c r="AC62" s="185">
        <f t="shared" si="0"/>
        <v>0</v>
      </c>
    </row>
    <row r="63" spans="1:29" ht="24" x14ac:dyDescent="0.25">
      <c r="A63" s="199">
        <v>6</v>
      </c>
      <c r="B63" s="199"/>
      <c r="C63" s="199"/>
      <c r="D63" s="211" t="s">
        <v>319</v>
      </c>
      <c r="G63" s="196"/>
      <c r="H63" s="186"/>
      <c r="I63" s="196"/>
      <c r="J63" s="186"/>
      <c r="K63" s="196"/>
      <c r="L63" s="186"/>
      <c r="M63" s="196"/>
      <c r="N63" s="186"/>
      <c r="O63" s="176"/>
      <c r="P63" s="186"/>
      <c r="Q63" s="168"/>
      <c r="R63" s="186"/>
      <c r="S63" s="176"/>
      <c r="T63" s="186"/>
      <c r="U63" s="176"/>
      <c r="V63" s="186"/>
      <c r="W63" s="176"/>
      <c r="X63" s="186"/>
      <c r="Y63" s="176"/>
      <c r="Z63" s="186"/>
      <c r="AA63" s="176"/>
      <c r="AB63" s="186"/>
      <c r="AC63" s="185">
        <f t="shared" si="0"/>
        <v>0</v>
      </c>
    </row>
    <row r="64" spans="1:29" ht="24" x14ac:dyDescent="0.25">
      <c r="A64" s="199">
        <v>7</v>
      </c>
      <c r="B64" s="199"/>
      <c r="C64" s="199"/>
      <c r="D64" s="211" t="s">
        <v>320</v>
      </c>
      <c r="G64" s="196"/>
      <c r="H64" s="186"/>
      <c r="I64" s="196"/>
      <c r="J64" s="186"/>
      <c r="K64" s="196"/>
      <c r="L64" s="186"/>
      <c r="M64" s="196"/>
      <c r="N64" s="186"/>
      <c r="O64" s="176"/>
      <c r="P64" s="186"/>
      <c r="Q64" s="168"/>
      <c r="R64" s="186"/>
      <c r="S64" s="176"/>
      <c r="T64" s="186"/>
      <c r="U64" s="176"/>
      <c r="V64" s="186"/>
      <c r="W64" s="176"/>
      <c r="X64" s="186"/>
      <c r="Y64" s="176"/>
      <c r="Z64" s="186"/>
      <c r="AA64" s="176"/>
      <c r="AB64" s="186"/>
      <c r="AC64" s="185">
        <f t="shared" si="0"/>
        <v>0</v>
      </c>
    </row>
    <row r="65" spans="1:29" ht="24" x14ac:dyDescent="0.25">
      <c r="A65" s="199">
        <v>8</v>
      </c>
      <c r="B65" s="199"/>
      <c r="C65" s="199"/>
      <c r="D65" s="211" t="s">
        <v>321</v>
      </c>
      <c r="G65" s="196"/>
      <c r="H65" s="186"/>
      <c r="I65" s="196"/>
      <c r="J65" s="186"/>
      <c r="K65" s="196"/>
      <c r="L65" s="186"/>
      <c r="M65" s="196"/>
      <c r="N65" s="186"/>
      <c r="O65" s="176"/>
      <c r="P65" s="186"/>
      <c r="Q65" s="168"/>
      <c r="R65" s="186"/>
      <c r="S65" s="176"/>
      <c r="T65" s="186"/>
      <c r="U65" s="176"/>
      <c r="V65" s="186"/>
      <c r="W65" s="176"/>
      <c r="X65" s="186"/>
      <c r="Y65" s="176"/>
      <c r="Z65" s="186"/>
      <c r="AA65" s="176"/>
      <c r="AB65" s="186"/>
      <c r="AC65" s="185">
        <f t="shared" si="0"/>
        <v>0</v>
      </c>
    </row>
    <row r="66" spans="1:29" ht="24" x14ac:dyDescent="0.25">
      <c r="A66" s="199">
        <v>9</v>
      </c>
      <c r="B66" s="199"/>
      <c r="C66" s="199"/>
      <c r="D66" s="212" t="s">
        <v>322</v>
      </c>
      <c r="G66" s="196"/>
      <c r="H66" s="186"/>
      <c r="I66" s="196"/>
      <c r="J66" s="186"/>
      <c r="K66" s="196"/>
      <c r="L66" s="186"/>
      <c r="M66" s="196"/>
      <c r="N66" s="186"/>
      <c r="O66" s="176"/>
      <c r="P66" s="186"/>
      <c r="Q66" s="168"/>
      <c r="R66" s="186"/>
      <c r="S66" s="176"/>
      <c r="T66" s="186"/>
      <c r="U66" s="176"/>
      <c r="V66" s="186"/>
      <c r="W66" s="176"/>
      <c r="X66" s="186"/>
      <c r="Y66" s="176"/>
      <c r="Z66" s="186"/>
      <c r="AA66" s="176"/>
      <c r="AB66" s="186"/>
      <c r="AC66" s="185">
        <f t="shared" si="0"/>
        <v>0</v>
      </c>
    </row>
    <row r="67" spans="1:29" ht="24" x14ac:dyDescent="0.2">
      <c r="A67" s="373"/>
      <c r="B67" s="373"/>
      <c r="C67" s="373"/>
      <c r="D67" s="373"/>
      <c r="G67" s="176"/>
      <c r="H67" s="186"/>
      <c r="I67" s="176"/>
      <c r="J67" s="186"/>
      <c r="K67" s="176"/>
      <c r="L67" s="186"/>
      <c r="M67" s="176"/>
      <c r="N67" s="186"/>
      <c r="O67" s="176"/>
      <c r="P67" s="186"/>
      <c r="Q67" s="168"/>
      <c r="R67" s="186"/>
      <c r="S67" s="176"/>
      <c r="T67" s="186"/>
      <c r="U67" s="176"/>
      <c r="V67" s="186"/>
      <c r="W67" s="176"/>
      <c r="X67" s="186"/>
      <c r="Y67" s="176"/>
      <c r="Z67" s="186"/>
      <c r="AA67" s="176"/>
      <c r="AB67" s="186"/>
      <c r="AC67" s="185">
        <f t="shared" si="0"/>
        <v>0</v>
      </c>
    </row>
    <row r="68" spans="1:29" ht="24" x14ac:dyDescent="0.2">
      <c r="A68" s="174"/>
      <c r="B68" s="174" t="s">
        <v>243</v>
      </c>
      <c r="C68" s="174"/>
      <c r="D68" s="174" t="s">
        <v>60</v>
      </c>
      <c r="G68" s="176"/>
      <c r="H68" s="186"/>
      <c r="I68" s="176"/>
      <c r="J68" s="186"/>
      <c r="K68" s="176"/>
      <c r="L68" s="186"/>
      <c r="M68" s="176"/>
      <c r="N68" s="186"/>
      <c r="O68" s="176"/>
      <c r="P68" s="186"/>
      <c r="Q68" s="168"/>
      <c r="R68" s="186"/>
      <c r="S68" s="176"/>
      <c r="T68" s="186"/>
      <c r="U68" s="176"/>
      <c r="V68" s="186"/>
      <c r="W68" s="176"/>
      <c r="X68" s="186"/>
      <c r="Y68" s="176"/>
      <c r="Z68" s="186"/>
      <c r="AA68" s="176"/>
      <c r="AB68" s="186"/>
      <c r="AC68" s="185">
        <f t="shared" si="0"/>
        <v>0</v>
      </c>
    </row>
    <row r="69" spans="1:29" ht="24" x14ac:dyDescent="0.25">
      <c r="A69" s="213">
        <v>1</v>
      </c>
      <c r="B69" s="214"/>
      <c r="C69" s="214"/>
      <c r="D69" s="215" t="s">
        <v>61</v>
      </c>
      <c r="G69" s="176"/>
      <c r="H69" s="186"/>
      <c r="I69" s="176"/>
      <c r="J69" s="287"/>
      <c r="K69" s="176"/>
      <c r="L69" s="186"/>
      <c r="M69" s="176"/>
      <c r="N69" s="186"/>
      <c r="O69" s="176"/>
      <c r="P69" s="186"/>
      <c r="Q69" s="168"/>
      <c r="R69" s="186"/>
      <c r="S69" s="176"/>
      <c r="T69" s="186"/>
      <c r="U69" s="176"/>
      <c r="V69" s="186"/>
      <c r="W69" s="176"/>
      <c r="X69" s="186"/>
      <c r="Y69" s="176"/>
      <c r="Z69" s="186"/>
      <c r="AA69" s="176"/>
      <c r="AB69" s="186"/>
      <c r="AC69" s="185">
        <f t="shared" si="0"/>
        <v>0</v>
      </c>
    </row>
    <row r="70" spans="1:29" ht="24" x14ac:dyDescent="0.25">
      <c r="A70" s="213">
        <v>2</v>
      </c>
      <c r="B70" s="214"/>
      <c r="C70" s="214"/>
      <c r="D70" s="215" t="s">
        <v>62</v>
      </c>
      <c r="G70" s="176"/>
      <c r="H70" s="186"/>
      <c r="I70" s="176"/>
      <c r="J70" s="186"/>
      <c r="K70" s="176"/>
      <c r="L70" s="186"/>
      <c r="M70" s="176"/>
      <c r="N70" s="186"/>
      <c r="O70" s="176"/>
      <c r="P70" s="186"/>
      <c r="Q70" s="168"/>
      <c r="R70" s="186"/>
      <c r="S70" s="176"/>
      <c r="T70" s="186"/>
      <c r="U70" s="176"/>
      <c r="V70" s="186"/>
      <c r="W70" s="176"/>
      <c r="X70" s="186"/>
      <c r="Y70" s="176"/>
      <c r="Z70" s="186"/>
      <c r="AA70" s="176"/>
      <c r="AB70" s="186"/>
      <c r="AC70" s="185">
        <f t="shared" si="0"/>
        <v>0</v>
      </c>
    </row>
    <row r="71" spans="1:29" ht="24" x14ac:dyDescent="0.25">
      <c r="A71" s="213">
        <v>3</v>
      </c>
      <c r="B71" s="214"/>
      <c r="C71" s="214"/>
      <c r="D71" s="215" t="s">
        <v>63</v>
      </c>
      <c r="G71" s="176"/>
      <c r="H71" s="186"/>
      <c r="I71" s="176"/>
      <c r="J71" s="186"/>
      <c r="K71" s="176"/>
      <c r="L71" s="186"/>
      <c r="M71" s="176"/>
      <c r="N71" s="186"/>
      <c r="O71" s="176"/>
      <c r="P71" s="186"/>
      <c r="Q71" s="168"/>
      <c r="R71" s="186"/>
      <c r="S71" s="176"/>
      <c r="T71" s="186"/>
      <c r="U71" s="176"/>
      <c r="V71" s="186"/>
      <c r="W71" s="176"/>
      <c r="X71" s="186"/>
      <c r="Y71" s="176"/>
      <c r="Z71" s="186"/>
      <c r="AA71" s="176"/>
      <c r="AB71" s="186"/>
      <c r="AC71" s="185">
        <f t="shared" si="0"/>
        <v>0</v>
      </c>
    </row>
    <row r="72" spans="1:29" ht="24" x14ac:dyDescent="0.25">
      <c r="A72" s="213">
        <v>4</v>
      </c>
      <c r="B72" s="216"/>
      <c r="C72" s="216"/>
      <c r="D72" s="217" t="s">
        <v>64</v>
      </c>
      <c r="G72" s="176"/>
      <c r="H72" s="186"/>
      <c r="I72" s="176"/>
      <c r="J72" s="186"/>
      <c r="K72" s="176"/>
      <c r="L72" s="186"/>
      <c r="M72" s="176"/>
      <c r="N72" s="186"/>
      <c r="O72" s="176"/>
      <c r="P72" s="186"/>
      <c r="Q72" s="168"/>
      <c r="R72" s="186"/>
      <c r="S72" s="176"/>
      <c r="T72" s="186"/>
      <c r="U72" s="176"/>
      <c r="V72" s="186"/>
      <c r="W72" s="176"/>
      <c r="X72" s="186"/>
      <c r="Y72" s="176"/>
      <c r="Z72" s="186"/>
      <c r="AA72" s="176"/>
      <c r="AB72" s="186"/>
      <c r="AC72" s="185">
        <f t="shared" si="0"/>
        <v>0</v>
      </c>
    </row>
    <row r="73" spans="1:29" ht="24" x14ac:dyDescent="0.25">
      <c r="A73" s="213">
        <v>5</v>
      </c>
      <c r="B73" s="216"/>
      <c r="C73" s="216"/>
      <c r="D73" s="217" t="s">
        <v>65</v>
      </c>
      <c r="G73" s="176"/>
      <c r="H73" s="186"/>
      <c r="I73" s="176"/>
      <c r="J73" s="186"/>
      <c r="K73" s="176"/>
      <c r="L73" s="186"/>
      <c r="M73" s="176"/>
      <c r="N73" s="186"/>
      <c r="O73" s="176"/>
      <c r="P73" s="186"/>
      <c r="Q73" s="168"/>
      <c r="R73" s="186"/>
      <c r="S73" s="176"/>
      <c r="T73" s="186"/>
      <c r="U73" s="176"/>
      <c r="V73" s="186"/>
      <c r="W73" s="176"/>
      <c r="X73" s="186"/>
      <c r="Y73" s="176"/>
      <c r="Z73" s="186"/>
      <c r="AA73" s="176"/>
      <c r="AB73" s="186"/>
      <c r="AC73" s="185">
        <f t="shared" si="0"/>
        <v>0</v>
      </c>
    </row>
    <row r="74" spans="1:29" ht="24" x14ac:dyDescent="0.25">
      <c r="A74" s="213">
        <v>6</v>
      </c>
      <c r="B74" s="216"/>
      <c r="C74" s="216"/>
      <c r="D74" s="217" t="s">
        <v>66</v>
      </c>
      <c r="G74" s="176"/>
      <c r="H74" s="186"/>
      <c r="I74" s="176"/>
      <c r="J74" s="186"/>
      <c r="K74" s="176"/>
      <c r="L74" s="186"/>
      <c r="M74" s="176"/>
      <c r="N74" s="186"/>
      <c r="O74" s="176"/>
      <c r="P74" s="186"/>
      <c r="Q74" s="168"/>
      <c r="R74" s="186"/>
      <c r="S74" s="176"/>
      <c r="T74" s="186"/>
      <c r="U74" s="176"/>
      <c r="V74" s="186"/>
      <c r="W74" s="176"/>
      <c r="X74" s="186"/>
      <c r="Y74" s="176"/>
      <c r="Z74" s="186"/>
      <c r="AA74" s="176"/>
      <c r="AB74" s="186"/>
      <c r="AC74" s="185">
        <f t="shared" si="0"/>
        <v>0</v>
      </c>
    </row>
    <row r="75" spans="1:29" ht="24" x14ac:dyDescent="0.25">
      <c r="A75" s="213">
        <v>7</v>
      </c>
      <c r="B75" s="218"/>
      <c r="C75" s="218"/>
      <c r="D75" s="219" t="s">
        <v>67</v>
      </c>
      <c r="G75" s="176"/>
      <c r="H75" s="186"/>
      <c r="I75" s="176"/>
      <c r="J75" s="186"/>
      <c r="K75" s="176"/>
      <c r="L75" s="186"/>
      <c r="M75" s="176"/>
      <c r="N75" s="186"/>
      <c r="O75" s="176"/>
      <c r="P75" s="186"/>
      <c r="Q75" s="168"/>
      <c r="R75" s="186"/>
      <c r="S75" s="176"/>
      <c r="T75" s="186"/>
      <c r="U75" s="176"/>
      <c r="V75" s="186"/>
      <c r="W75" s="176"/>
      <c r="X75" s="186"/>
      <c r="Y75" s="176"/>
      <c r="Z75" s="186"/>
      <c r="AA75" s="176"/>
      <c r="AB75" s="186"/>
      <c r="AC75" s="185">
        <f t="shared" si="0"/>
        <v>0</v>
      </c>
    </row>
    <row r="76" spans="1:29" ht="24" x14ac:dyDescent="0.25">
      <c r="A76" s="213">
        <v>8</v>
      </c>
      <c r="B76" s="218"/>
      <c r="C76" s="218"/>
      <c r="D76" s="219" t="s">
        <v>68</v>
      </c>
      <c r="G76" s="176"/>
      <c r="H76" s="186"/>
      <c r="I76" s="176"/>
      <c r="J76" s="186"/>
      <c r="K76" s="176"/>
      <c r="L76" s="186"/>
      <c r="M76" s="176"/>
      <c r="N76" s="186"/>
      <c r="O76" s="176"/>
      <c r="P76" s="186"/>
      <c r="Q76" s="168"/>
      <c r="R76" s="186"/>
      <c r="S76" s="176"/>
      <c r="T76" s="186"/>
      <c r="U76" s="176"/>
      <c r="V76" s="186"/>
      <c r="W76" s="176"/>
      <c r="X76" s="186"/>
      <c r="Y76" s="176"/>
      <c r="Z76" s="186"/>
      <c r="AA76" s="176"/>
      <c r="AB76" s="186"/>
      <c r="AC76" s="185">
        <f t="shared" ref="AC76:AC139" si="1">SUM(E76:AB76)</f>
        <v>0</v>
      </c>
    </row>
    <row r="77" spans="1:29" ht="24" x14ac:dyDescent="0.25">
      <c r="A77" s="213">
        <v>9</v>
      </c>
      <c r="B77" s="220"/>
      <c r="C77" s="220"/>
      <c r="D77" s="221" t="s">
        <v>69</v>
      </c>
      <c r="G77" s="176"/>
      <c r="H77" s="186"/>
      <c r="I77" s="176"/>
      <c r="J77" s="186"/>
      <c r="K77" s="176"/>
      <c r="L77" s="186"/>
      <c r="M77" s="176"/>
      <c r="N77" s="186"/>
      <c r="O77" s="176"/>
      <c r="P77" s="186"/>
      <c r="Q77" s="168"/>
      <c r="R77" s="186"/>
      <c r="S77" s="176"/>
      <c r="T77" s="186"/>
      <c r="U77" s="176"/>
      <c r="V77" s="186"/>
      <c r="W77" s="176"/>
      <c r="X77" s="186"/>
      <c r="Y77" s="176"/>
      <c r="Z77" s="186"/>
      <c r="AA77" s="176"/>
      <c r="AB77" s="186"/>
      <c r="AC77" s="185">
        <f t="shared" si="1"/>
        <v>0</v>
      </c>
    </row>
    <row r="78" spans="1:29" ht="24" x14ac:dyDescent="0.25">
      <c r="A78" s="213">
        <v>10</v>
      </c>
      <c r="B78" s="220"/>
      <c r="C78" s="220"/>
      <c r="D78" s="221" t="s">
        <v>70</v>
      </c>
      <c r="G78" s="176"/>
      <c r="H78" s="186"/>
      <c r="I78" s="176"/>
      <c r="J78" s="186"/>
      <c r="K78" s="176"/>
      <c r="L78" s="186"/>
      <c r="M78" s="176"/>
      <c r="N78" s="186"/>
      <c r="O78" s="176"/>
      <c r="P78" s="186"/>
      <c r="Q78" s="168"/>
      <c r="R78" s="186"/>
      <c r="S78" s="176"/>
      <c r="T78" s="186"/>
      <c r="U78" s="176"/>
      <c r="V78" s="186"/>
      <c r="W78" s="176"/>
      <c r="X78" s="186"/>
      <c r="Y78" s="176"/>
      <c r="Z78" s="186"/>
      <c r="AA78" s="176"/>
      <c r="AB78" s="186"/>
      <c r="AC78" s="185">
        <f t="shared" si="1"/>
        <v>0</v>
      </c>
    </row>
    <row r="79" spans="1:29" ht="24" x14ac:dyDescent="0.25">
      <c r="A79" s="213">
        <v>11</v>
      </c>
      <c r="B79" s="222"/>
      <c r="C79" s="222"/>
      <c r="D79" s="223" t="s">
        <v>71</v>
      </c>
      <c r="G79" s="176"/>
      <c r="H79" s="186"/>
      <c r="I79" s="176"/>
      <c r="J79" s="186"/>
      <c r="K79" s="176"/>
      <c r="L79" s="186"/>
      <c r="M79" s="176"/>
      <c r="N79" s="186"/>
      <c r="O79" s="176"/>
      <c r="P79" s="186"/>
      <c r="Q79" s="168"/>
      <c r="R79" s="186"/>
      <c r="S79" s="176"/>
      <c r="T79" s="186"/>
      <c r="U79" s="176"/>
      <c r="V79" s="186"/>
      <c r="W79" s="176"/>
      <c r="X79" s="186"/>
      <c r="Y79" s="176"/>
      <c r="Z79" s="186"/>
      <c r="AA79" s="176"/>
      <c r="AB79" s="186"/>
      <c r="AC79" s="185">
        <f t="shared" si="1"/>
        <v>0</v>
      </c>
    </row>
    <row r="80" spans="1:29" ht="24" x14ac:dyDescent="0.25">
      <c r="A80" s="213">
        <v>12</v>
      </c>
      <c r="B80" s="222"/>
      <c r="C80" s="222"/>
      <c r="D80" s="223" t="s">
        <v>72</v>
      </c>
      <c r="G80" s="176"/>
      <c r="H80" s="186"/>
      <c r="I80" s="176"/>
      <c r="J80" s="186"/>
      <c r="K80" s="176"/>
      <c r="L80" s="186"/>
      <c r="M80" s="176"/>
      <c r="N80" s="186"/>
      <c r="O80" s="176"/>
      <c r="P80" s="186"/>
      <c r="Q80" s="168"/>
      <c r="R80" s="186"/>
      <c r="S80" s="176"/>
      <c r="T80" s="186"/>
      <c r="U80" s="176"/>
      <c r="V80" s="186"/>
      <c r="W80" s="176"/>
      <c r="X80" s="186"/>
      <c r="Y80" s="176"/>
      <c r="Z80" s="186"/>
      <c r="AA80" s="176"/>
      <c r="AB80" s="186"/>
      <c r="AC80" s="185">
        <f t="shared" si="1"/>
        <v>0</v>
      </c>
    </row>
    <row r="81" spans="1:29" ht="24" x14ac:dyDescent="0.25">
      <c r="A81" s="213">
        <v>13</v>
      </c>
      <c r="B81" s="224"/>
      <c r="C81" s="224"/>
      <c r="D81" s="225" t="s">
        <v>73</v>
      </c>
      <c r="G81" s="176"/>
      <c r="H81" s="186"/>
      <c r="I81" s="176"/>
      <c r="J81" s="186"/>
      <c r="K81" s="176"/>
      <c r="L81" s="186"/>
      <c r="M81" s="176"/>
      <c r="N81" s="186"/>
      <c r="O81" s="176"/>
      <c r="P81" s="186"/>
      <c r="Q81" s="168"/>
      <c r="R81" s="186"/>
      <c r="S81" s="176"/>
      <c r="T81" s="186"/>
      <c r="U81" s="176"/>
      <c r="V81" s="186"/>
      <c r="W81" s="176"/>
      <c r="X81" s="186"/>
      <c r="Y81" s="176"/>
      <c r="Z81" s="186"/>
      <c r="AA81" s="176"/>
      <c r="AB81" s="186"/>
      <c r="AC81" s="185">
        <f t="shared" si="1"/>
        <v>0</v>
      </c>
    </row>
    <row r="82" spans="1:29" ht="24" x14ac:dyDescent="0.25">
      <c r="A82" s="213">
        <v>14</v>
      </c>
      <c r="B82" s="224"/>
      <c r="C82" s="224"/>
      <c r="D82" s="225" t="s">
        <v>74</v>
      </c>
      <c r="G82" s="176"/>
      <c r="H82" s="186"/>
      <c r="I82" s="176"/>
      <c r="J82" s="186"/>
      <c r="K82" s="176"/>
      <c r="L82" s="186"/>
      <c r="M82" s="176"/>
      <c r="N82" s="186"/>
      <c r="O82" s="176"/>
      <c r="P82" s="186"/>
      <c r="Q82" s="168"/>
      <c r="R82" s="186"/>
      <c r="S82" s="176"/>
      <c r="T82" s="186"/>
      <c r="U82" s="176"/>
      <c r="V82" s="186"/>
      <c r="W82" s="176"/>
      <c r="X82" s="186"/>
      <c r="Y82" s="176"/>
      <c r="Z82" s="186"/>
      <c r="AA82" s="176"/>
      <c r="AB82" s="186"/>
      <c r="AC82" s="185">
        <f t="shared" si="1"/>
        <v>0</v>
      </c>
    </row>
    <row r="83" spans="1:29" ht="24" x14ac:dyDescent="0.25">
      <c r="A83" s="213">
        <v>15</v>
      </c>
      <c r="B83" s="224"/>
      <c r="C83" s="224"/>
      <c r="D83" s="225" t="s">
        <v>75</v>
      </c>
      <c r="G83" s="176"/>
      <c r="H83" s="186"/>
      <c r="I83" s="176"/>
      <c r="J83" s="186"/>
      <c r="K83" s="176"/>
      <c r="L83" s="186"/>
      <c r="M83" s="176"/>
      <c r="N83" s="186"/>
      <c r="O83" s="176"/>
      <c r="P83" s="186"/>
      <c r="Q83" s="168"/>
      <c r="R83" s="186"/>
      <c r="S83" s="176"/>
      <c r="T83" s="186"/>
      <c r="U83" s="176"/>
      <c r="V83" s="186"/>
      <c r="W83" s="176"/>
      <c r="X83" s="186"/>
      <c r="Y83" s="176"/>
      <c r="Z83" s="186"/>
      <c r="AA83" s="176"/>
      <c r="AB83" s="186"/>
      <c r="AC83" s="185">
        <f t="shared" si="1"/>
        <v>0</v>
      </c>
    </row>
    <row r="84" spans="1:29" ht="24" x14ac:dyDescent="0.25">
      <c r="A84" s="213">
        <v>16</v>
      </c>
      <c r="B84" s="224"/>
      <c r="C84" s="224"/>
      <c r="D84" s="225" t="s">
        <v>76</v>
      </c>
      <c r="G84" s="176"/>
      <c r="H84" s="186"/>
      <c r="I84" s="176"/>
      <c r="J84" s="186"/>
      <c r="K84" s="176"/>
      <c r="L84" s="186"/>
      <c r="M84" s="176"/>
      <c r="N84" s="186"/>
      <c r="O84" s="176"/>
      <c r="P84" s="186"/>
      <c r="Q84" s="168"/>
      <c r="R84" s="186"/>
      <c r="S84" s="176"/>
      <c r="T84" s="186"/>
      <c r="U84" s="176"/>
      <c r="V84" s="186"/>
      <c r="W84" s="176"/>
      <c r="X84" s="186"/>
      <c r="Y84" s="176"/>
      <c r="Z84" s="186"/>
      <c r="AA84" s="176"/>
      <c r="AB84" s="186"/>
      <c r="AC84" s="185">
        <f t="shared" si="1"/>
        <v>0</v>
      </c>
    </row>
    <row r="85" spans="1:29" ht="24" x14ac:dyDescent="0.25">
      <c r="A85" s="213">
        <v>17</v>
      </c>
      <c r="B85" s="226"/>
      <c r="C85" s="226"/>
      <c r="D85" s="227" t="s">
        <v>77</v>
      </c>
      <c r="G85" s="176"/>
      <c r="H85" s="186"/>
      <c r="I85" s="176"/>
      <c r="J85" s="186"/>
      <c r="K85" s="176"/>
      <c r="L85" s="186"/>
      <c r="M85" s="176"/>
      <c r="N85" s="186"/>
      <c r="O85" s="176"/>
      <c r="P85" s="186"/>
      <c r="Q85" s="168"/>
      <c r="R85" s="186"/>
      <c r="S85" s="176"/>
      <c r="T85" s="186"/>
      <c r="U85" s="176"/>
      <c r="V85" s="186"/>
      <c r="W85" s="176"/>
      <c r="X85" s="186"/>
      <c r="Y85" s="176"/>
      <c r="Z85" s="186"/>
      <c r="AA85" s="176"/>
      <c r="AB85" s="186"/>
      <c r="AC85" s="185">
        <f t="shared" si="1"/>
        <v>0</v>
      </c>
    </row>
    <row r="86" spans="1:29" ht="24" x14ac:dyDescent="0.25">
      <c r="A86" s="213">
        <v>18</v>
      </c>
      <c r="B86" s="226"/>
      <c r="C86" s="226"/>
      <c r="D86" s="227" t="s">
        <v>78</v>
      </c>
      <c r="G86" s="176"/>
      <c r="H86" s="186"/>
      <c r="I86" s="176"/>
      <c r="J86" s="186"/>
      <c r="K86" s="176"/>
      <c r="L86" s="186"/>
      <c r="M86" s="176"/>
      <c r="N86" s="186"/>
      <c r="O86" s="176"/>
      <c r="P86" s="186"/>
      <c r="Q86" s="168"/>
      <c r="R86" s="186"/>
      <c r="S86" s="176"/>
      <c r="T86" s="186"/>
      <c r="U86" s="176"/>
      <c r="V86" s="186"/>
      <c r="W86" s="176"/>
      <c r="X86" s="186"/>
      <c r="Y86" s="176"/>
      <c r="Z86" s="186"/>
      <c r="AA86" s="176"/>
      <c r="AB86" s="186"/>
      <c r="AC86" s="185">
        <f t="shared" si="1"/>
        <v>0</v>
      </c>
    </row>
    <row r="87" spans="1:29" ht="24" x14ac:dyDescent="0.25">
      <c r="A87" s="213">
        <v>19</v>
      </c>
      <c r="B87" s="226"/>
      <c r="C87" s="226"/>
      <c r="D87" s="227" t="s">
        <v>79</v>
      </c>
      <c r="G87" s="176"/>
      <c r="H87" s="186"/>
      <c r="I87" s="176"/>
      <c r="J87" s="286"/>
      <c r="K87" s="176"/>
      <c r="L87" s="186"/>
      <c r="M87" s="176"/>
      <c r="N87" s="186"/>
      <c r="O87" s="176"/>
      <c r="P87" s="186"/>
      <c r="Q87" s="168"/>
      <c r="R87" s="186"/>
      <c r="S87" s="176"/>
      <c r="T87" s="186"/>
      <c r="U87" s="176"/>
      <c r="V87" s="186"/>
      <c r="W87" s="176"/>
      <c r="X87" s="186"/>
      <c r="Y87" s="176"/>
      <c r="Z87" s="186"/>
      <c r="AA87" s="176"/>
      <c r="AB87" s="186"/>
      <c r="AC87" s="185">
        <f t="shared" si="1"/>
        <v>0</v>
      </c>
    </row>
    <row r="88" spans="1:29" ht="24" x14ac:dyDescent="0.25">
      <c r="A88" s="213">
        <v>20</v>
      </c>
      <c r="B88" s="226"/>
      <c r="C88" s="226"/>
      <c r="D88" s="227" t="s">
        <v>80</v>
      </c>
      <c r="G88" s="176"/>
      <c r="H88" s="186"/>
      <c r="I88" s="176"/>
      <c r="J88" s="186"/>
      <c r="K88" s="176"/>
      <c r="L88" s="186"/>
      <c r="M88" s="176"/>
      <c r="N88" s="186"/>
      <c r="O88" s="176"/>
      <c r="P88" s="186"/>
      <c r="Q88" s="168"/>
      <c r="R88" s="186"/>
      <c r="S88" s="176"/>
      <c r="T88" s="186"/>
      <c r="U88" s="176"/>
      <c r="V88" s="186"/>
      <c r="W88" s="176"/>
      <c r="X88" s="186"/>
      <c r="Y88" s="176"/>
      <c r="Z88" s="186"/>
      <c r="AA88" s="176"/>
      <c r="AB88" s="186"/>
      <c r="AC88" s="185">
        <f t="shared" si="1"/>
        <v>0</v>
      </c>
    </row>
    <row r="89" spans="1:29" ht="24" x14ac:dyDescent="0.25">
      <c r="A89" s="213">
        <v>21</v>
      </c>
      <c r="B89" s="226"/>
      <c r="C89" s="226"/>
      <c r="D89" s="227" t="s">
        <v>302</v>
      </c>
      <c r="G89" s="176"/>
      <c r="H89" s="186"/>
      <c r="I89" s="176"/>
      <c r="J89" s="186"/>
      <c r="K89" s="176"/>
      <c r="L89" s="186"/>
      <c r="M89" s="176"/>
      <c r="N89" s="186"/>
      <c r="O89" s="176"/>
      <c r="P89" s="186"/>
      <c r="Q89" s="168"/>
      <c r="R89" s="186"/>
      <c r="S89" s="176"/>
      <c r="T89" s="186"/>
      <c r="U89" s="176"/>
      <c r="V89" s="186"/>
      <c r="W89" s="176"/>
      <c r="X89" s="186"/>
      <c r="Y89" s="176"/>
      <c r="Z89" s="186"/>
      <c r="AA89" s="176"/>
      <c r="AB89" s="186"/>
      <c r="AC89" s="185">
        <f t="shared" si="1"/>
        <v>0</v>
      </c>
    </row>
    <row r="90" spans="1:29" ht="24" x14ac:dyDescent="0.25">
      <c r="A90" s="213">
        <v>22</v>
      </c>
      <c r="B90" s="226"/>
      <c r="C90" s="226"/>
      <c r="D90" s="227" t="s">
        <v>81</v>
      </c>
      <c r="G90" s="176"/>
      <c r="H90" s="186"/>
      <c r="I90" s="176"/>
      <c r="J90" s="186"/>
      <c r="K90" s="176"/>
      <c r="L90" s="186"/>
      <c r="M90" s="176"/>
      <c r="N90" s="186"/>
      <c r="O90" s="176"/>
      <c r="P90" s="186"/>
      <c r="Q90" s="168"/>
      <c r="R90" s="186"/>
      <c r="S90" s="176"/>
      <c r="T90" s="186"/>
      <c r="U90" s="176"/>
      <c r="V90" s="186"/>
      <c r="W90" s="176"/>
      <c r="X90" s="186"/>
      <c r="Y90" s="176"/>
      <c r="Z90" s="186"/>
      <c r="AA90" s="176"/>
      <c r="AB90" s="186"/>
      <c r="AC90" s="185">
        <f t="shared" si="1"/>
        <v>0</v>
      </c>
    </row>
    <row r="91" spans="1:29" ht="24" x14ac:dyDescent="0.2">
      <c r="A91" s="374"/>
      <c r="B91" s="374"/>
      <c r="C91" s="374"/>
      <c r="D91" s="374"/>
      <c r="G91" s="176"/>
      <c r="H91" s="186"/>
      <c r="I91" s="176"/>
      <c r="J91" s="186"/>
      <c r="K91" s="176"/>
      <c r="L91" s="186"/>
      <c r="M91" s="176"/>
      <c r="N91" s="186"/>
      <c r="O91" s="176"/>
      <c r="P91" s="186"/>
      <c r="Q91" s="168"/>
      <c r="R91" s="186"/>
      <c r="S91" s="176"/>
      <c r="T91" s="186"/>
      <c r="U91" s="176"/>
      <c r="V91" s="186"/>
      <c r="W91" s="176"/>
      <c r="X91" s="186"/>
      <c r="Y91" s="176"/>
      <c r="Z91" s="186"/>
      <c r="AA91" s="176"/>
      <c r="AB91" s="186"/>
      <c r="AC91" s="185">
        <f t="shared" si="1"/>
        <v>0</v>
      </c>
    </row>
    <row r="92" spans="1:29" ht="24" x14ac:dyDescent="0.2">
      <c r="A92" s="174"/>
      <c r="B92" s="228" t="s">
        <v>243</v>
      </c>
      <c r="C92" s="228"/>
      <c r="D92" s="228" t="s">
        <v>82</v>
      </c>
      <c r="G92" s="176"/>
      <c r="H92" s="186"/>
      <c r="I92" s="176"/>
      <c r="J92" s="186"/>
      <c r="K92" s="176"/>
      <c r="L92" s="186"/>
      <c r="M92" s="176"/>
      <c r="N92" s="186"/>
      <c r="O92" s="176"/>
      <c r="P92" s="186"/>
      <c r="Q92" s="168"/>
      <c r="R92" s="186"/>
      <c r="S92" s="176"/>
      <c r="T92" s="186"/>
      <c r="U92" s="176"/>
      <c r="V92" s="186"/>
      <c r="W92" s="176"/>
      <c r="X92" s="186"/>
      <c r="Y92" s="176"/>
      <c r="Z92" s="186"/>
      <c r="AA92" s="176"/>
      <c r="AB92" s="186"/>
      <c r="AC92" s="185">
        <f t="shared" si="1"/>
        <v>0</v>
      </c>
    </row>
    <row r="93" spans="1:29" ht="24" x14ac:dyDescent="0.25">
      <c r="A93" s="179">
        <v>1</v>
      </c>
      <c r="B93" s="229"/>
      <c r="C93" s="229"/>
      <c r="D93" s="230" t="s">
        <v>83</v>
      </c>
      <c r="G93" s="176"/>
      <c r="H93" s="186"/>
      <c r="I93" s="176"/>
      <c r="J93" s="186"/>
      <c r="K93" s="176"/>
      <c r="L93" s="186"/>
      <c r="M93" s="176"/>
      <c r="N93" s="186"/>
      <c r="O93" s="176"/>
      <c r="P93" s="186"/>
      <c r="Q93" s="168"/>
      <c r="R93" s="186"/>
      <c r="S93" s="176"/>
      <c r="T93" s="186"/>
      <c r="U93" s="176"/>
      <c r="V93" s="186"/>
      <c r="W93" s="176"/>
      <c r="X93" s="186"/>
      <c r="Y93" s="176"/>
      <c r="Z93" s="186"/>
      <c r="AA93" s="176"/>
      <c r="AB93" s="186"/>
      <c r="AC93" s="185">
        <f t="shared" si="1"/>
        <v>0</v>
      </c>
    </row>
    <row r="94" spans="1:29" ht="24" x14ac:dyDescent="0.25">
      <c r="A94" s="179">
        <v>2</v>
      </c>
      <c r="B94" s="229"/>
      <c r="C94" s="229"/>
      <c r="D94" s="230" t="s">
        <v>84</v>
      </c>
      <c r="G94" s="176"/>
      <c r="H94" s="186"/>
      <c r="I94" s="176"/>
      <c r="J94" s="186"/>
      <c r="K94" s="176"/>
      <c r="L94" s="186"/>
      <c r="M94" s="176"/>
      <c r="N94" s="186"/>
      <c r="O94" s="176"/>
      <c r="P94" s="186"/>
      <c r="Q94" s="168"/>
      <c r="R94" s="186"/>
      <c r="S94" s="176"/>
      <c r="T94" s="186"/>
      <c r="U94" s="176"/>
      <c r="V94" s="186"/>
      <c r="W94" s="176"/>
      <c r="X94" s="186"/>
      <c r="Y94" s="176"/>
      <c r="Z94" s="186"/>
      <c r="AA94" s="176"/>
      <c r="AB94" s="186"/>
      <c r="AC94" s="185">
        <f t="shared" si="1"/>
        <v>0</v>
      </c>
    </row>
    <row r="95" spans="1:29" ht="24" x14ac:dyDescent="0.25">
      <c r="A95" s="179">
        <v>3</v>
      </c>
      <c r="B95" s="229"/>
      <c r="C95" s="229"/>
      <c r="D95" s="230" t="s">
        <v>85</v>
      </c>
      <c r="G95" s="176"/>
      <c r="H95" s="186"/>
      <c r="I95" s="176"/>
      <c r="J95" s="186"/>
      <c r="K95" s="176"/>
      <c r="L95" s="186"/>
      <c r="M95" s="176"/>
      <c r="N95" s="186"/>
      <c r="O95" s="176"/>
      <c r="P95" s="186"/>
      <c r="Q95" s="168"/>
      <c r="R95" s="186"/>
      <c r="S95" s="176"/>
      <c r="T95" s="186"/>
      <c r="U95" s="176"/>
      <c r="V95" s="186"/>
      <c r="W95" s="176"/>
      <c r="X95" s="186"/>
      <c r="Y95" s="176"/>
      <c r="Z95" s="186"/>
      <c r="AA95" s="176"/>
      <c r="AB95" s="186"/>
      <c r="AC95" s="185">
        <f t="shared" si="1"/>
        <v>0</v>
      </c>
    </row>
    <row r="96" spans="1:29" ht="24" x14ac:dyDescent="0.2">
      <c r="A96" s="179">
        <v>4</v>
      </c>
      <c r="B96" s="229"/>
      <c r="C96" s="229"/>
      <c r="D96" s="231" t="s">
        <v>86</v>
      </c>
      <c r="G96" s="176"/>
      <c r="H96" s="186"/>
      <c r="I96" s="176"/>
      <c r="J96" s="186"/>
      <c r="K96" s="176"/>
      <c r="L96" s="186"/>
      <c r="M96" s="176"/>
      <c r="N96" s="186"/>
      <c r="O96" s="176"/>
      <c r="P96" s="186"/>
      <c r="Q96" s="168"/>
      <c r="R96" s="186"/>
      <c r="S96" s="176"/>
      <c r="T96" s="186"/>
      <c r="U96" s="176"/>
      <c r="V96" s="186"/>
      <c r="W96" s="176"/>
      <c r="X96" s="186"/>
      <c r="Y96" s="176"/>
      <c r="Z96" s="186"/>
      <c r="AA96" s="176"/>
      <c r="AB96" s="186"/>
      <c r="AC96" s="185">
        <f t="shared" si="1"/>
        <v>0</v>
      </c>
    </row>
    <row r="97" spans="1:29" ht="24" x14ac:dyDescent="0.25">
      <c r="A97" s="179">
        <v>5</v>
      </c>
      <c r="B97" s="229"/>
      <c r="C97" s="229"/>
      <c r="D97" s="230" t="s">
        <v>87</v>
      </c>
      <c r="G97" s="176"/>
      <c r="H97" s="186"/>
      <c r="I97" s="176"/>
      <c r="J97" s="186"/>
      <c r="K97" s="176"/>
      <c r="L97" s="186"/>
      <c r="M97" s="176"/>
      <c r="N97" s="186"/>
      <c r="O97" s="176"/>
      <c r="P97" s="186"/>
      <c r="Q97" s="168"/>
      <c r="R97" s="186"/>
      <c r="S97" s="176"/>
      <c r="T97" s="186"/>
      <c r="U97" s="176"/>
      <c r="V97" s="186"/>
      <c r="W97" s="176"/>
      <c r="X97" s="186"/>
      <c r="Y97" s="176"/>
      <c r="Z97" s="186"/>
      <c r="AA97" s="176"/>
      <c r="AB97" s="186"/>
      <c r="AC97" s="185">
        <f t="shared" si="1"/>
        <v>0</v>
      </c>
    </row>
    <row r="98" spans="1:29" ht="24" x14ac:dyDescent="0.2">
      <c r="A98" s="179">
        <v>6</v>
      </c>
      <c r="B98" s="229"/>
      <c r="C98" s="229"/>
      <c r="D98" s="231" t="s">
        <v>88</v>
      </c>
      <c r="G98" s="176"/>
      <c r="H98" s="186"/>
      <c r="I98" s="176"/>
      <c r="J98" s="186"/>
      <c r="K98" s="176"/>
      <c r="L98" s="186"/>
      <c r="M98" s="176"/>
      <c r="N98" s="186"/>
      <c r="O98" s="176"/>
      <c r="P98" s="186"/>
      <c r="Q98" s="168"/>
      <c r="R98" s="186"/>
      <c r="S98" s="176"/>
      <c r="T98" s="186"/>
      <c r="U98" s="176"/>
      <c r="V98" s="186"/>
      <c r="W98" s="176"/>
      <c r="X98" s="186"/>
      <c r="Y98" s="176"/>
      <c r="Z98" s="186"/>
      <c r="AA98" s="176"/>
      <c r="AB98" s="186"/>
      <c r="AC98" s="185">
        <f t="shared" si="1"/>
        <v>0</v>
      </c>
    </row>
    <row r="99" spans="1:29" ht="24" x14ac:dyDescent="0.2">
      <c r="A99" s="179">
        <v>7</v>
      </c>
      <c r="B99" s="229"/>
      <c r="C99" s="229"/>
      <c r="D99" s="231" t="s">
        <v>89</v>
      </c>
      <c r="G99" s="176"/>
      <c r="H99" s="186"/>
      <c r="I99" s="176"/>
      <c r="J99" s="186"/>
      <c r="K99" s="176"/>
      <c r="L99" s="186"/>
      <c r="M99" s="176"/>
      <c r="N99" s="186"/>
      <c r="O99" s="176"/>
      <c r="P99" s="186"/>
      <c r="Q99" s="168"/>
      <c r="R99" s="186"/>
      <c r="S99" s="176"/>
      <c r="T99" s="186"/>
      <c r="U99" s="176"/>
      <c r="V99" s="186"/>
      <c r="W99" s="176"/>
      <c r="X99" s="186"/>
      <c r="Y99" s="176"/>
      <c r="Z99" s="186"/>
      <c r="AA99" s="176"/>
      <c r="AB99" s="186"/>
      <c r="AC99" s="185">
        <f t="shared" si="1"/>
        <v>0</v>
      </c>
    </row>
    <row r="100" spans="1:29" ht="24" x14ac:dyDescent="0.2">
      <c r="A100" s="179">
        <v>8</v>
      </c>
      <c r="B100" s="229"/>
      <c r="C100" s="229"/>
      <c r="D100" s="231" t="s">
        <v>90</v>
      </c>
      <c r="G100" s="176"/>
      <c r="H100" s="186"/>
      <c r="I100" s="176"/>
      <c r="J100" s="186"/>
      <c r="K100" s="176"/>
      <c r="L100" s="186"/>
      <c r="M100" s="176"/>
      <c r="N100" s="186"/>
      <c r="O100" s="176"/>
      <c r="P100" s="186"/>
      <c r="Q100" s="168"/>
      <c r="R100" s="186"/>
      <c r="S100" s="176"/>
      <c r="T100" s="186"/>
      <c r="U100" s="176"/>
      <c r="V100" s="186"/>
      <c r="W100" s="176"/>
      <c r="X100" s="186"/>
      <c r="Y100" s="176"/>
      <c r="Z100" s="186"/>
      <c r="AA100" s="176"/>
      <c r="AB100" s="186"/>
      <c r="AC100" s="185">
        <f t="shared" si="1"/>
        <v>0</v>
      </c>
    </row>
    <row r="101" spans="1:29" ht="24" x14ac:dyDescent="0.2">
      <c r="A101" s="179">
        <v>9</v>
      </c>
      <c r="B101" s="229"/>
      <c r="C101" s="229"/>
      <c r="D101" s="231" t="s">
        <v>91</v>
      </c>
      <c r="G101" s="176"/>
      <c r="H101" s="186"/>
      <c r="I101" s="176"/>
      <c r="J101" s="186"/>
      <c r="K101" s="176"/>
      <c r="L101" s="186"/>
      <c r="M101" s="176"/>
      <c r="N101" s="186"/>
      <c r="O101" s="176"/>
      <c r="P101" s="186"/>
      <c r="Q101" s="168"/>
      <c r="R101" s="186"/>
      <c r="S101" s="176"/>
      <c r="T101" s="186"/>
      <c r="U101" s="176"/>
      <c r="V101" s="186"/>
      <c r="W101" s="176"/>
      <c r="X101" s="186"/>
      <c r="Y101" s="176"/>
      <c r="Z101" s="186"/>
      <c r="AA101" s="176"/>
      <c r="AB101" s="186"/>
      <c r="AC101" s="185">
        <f t="shared" si="1"/>
        <v>0</v>
      </c>
    </row>
    <row r="102" spans="1:29" ht="24" x14ac:dyDescent="0.2">
      <c r="A102" s="179">
        <v>10</v>
      </c>
      <c r="B102" s="229"/>
      <c r="C102" s="229"/>
      <c r="D102" s="231" t="s">
        <v>92</v>
      </c>
      <c r="G102" s="176"/>
      <c r="H102" s="186"/>
      <c r="I102" s="176"/>
      <c r="J102" s="186"/>
      <c r="K102" s="176"/>
      <c r="L102" s="186"/>
      <c r="M102" s="176"/>
      <c r="N102" s="186"/>
      <c r="O102" s="176"/>
      <c r="P102" s="186"/>
      <c r="Q102" s="168"/>
      <c r="R102" s="186"/>
      <c r="S102" s="176"/>
      <c r="T102" s="186"/>
      <c r="U102" s="176"/>
      <c r="V102" s="186"/>
      <c r="W102" s="176"/>
      <c r="X102" s="186"/>
      <c r="Y102" s="176"/>
      <c r="Z102" s="186"/>
      <c r="AA102" s="176"/>
      <c r="AB102" s="186"/>
      <c r="AC102" s="185">
        <f t="shared" si="1"/>
        <v>0</v>
      </c>
    </row>
    <row r="103" spans="1:29" ht="24" x14ac:dyDescent="0.2">
      <c r="A103" s="179">
        <v>11</v>
      </c>
      <c r="B103" s="229"/>
      <c r="C103" s="229"/>
      <c r="D103" s="231" t="s">
        <v>93</v>
      </c>
      <c r="G103" s="176"/>
      <c r="H103" s="186"/>
      <c r="I103" s="176"/>
      <c r="J103" s="186"/>
      <c r="K103" s="176"/>
      <c r="L103" s="186"/>
      <c r="M103" s="176"/>
      <c r="N103" s="186"/>
      <c r="O103" s="176"/>
      <c r="P103" s="186"/>
      <c r="Q103" s="168"/>
      <c r="R103" s="186"/>
      <c r="S103" s="176"/>
      <c r="T103" s="186"/>
      <c r="U103" s="176"/>
      <c r="V103" s="186"/>
      <c r="W103" s="176"/>
      <c r="X103" s="186"/>
      <c r="Y103" s="176"/>
      <c r="Z103" s="186"/>
      <c r="AA103" s="176"/>
      <c r="AB103" s="186"/>
      <c r="AC103" s="185">
        <f t="shared" si="1"/>
        <v>0</v>
      </c>
    </row>
    <row r="104" spans="1:29" ht="24" x14ac:dyDescent="0.2">
      <c r="A104" s="179">
        <v>12</v>
      </c>
      <c r="B104" s="229"/>
      <c r="C104" s="229"/>
      <c r="D104" s="231" t="s">
        <v>94</v>
      </c>
      <c r="G104" s="176"/>
      <c r="H104" s="186"/>
      <c r="I104" s="176"/>
      <c r="J104" s="186"/>
      <c r="K104" s="176"/>
      <c r="L104" s="186"/>
      <c r="M104" s="176"/>
      <c r="N104" s="186"/>
      <c r="O104" s="176"/>
      <c r="P104" s="186"/>
      <c r="Q104" s="168"/>
      <c r="R104" s="186"/>
      <c r="S104" s="176"/>
      <c r="T104" s="186"/>
      <c r="U104" s="176"/>
      <c r="V104" s="186"/>
      <c r="W104" s="176"/>
      <c r="X104" s="186"/>
      <c r="Y104" s="176"/>
      <c r="Z104" s="186"/>
      <c r="AA104" s="176"/>
      <c r="AB104" s="186"/>
      <c r="AC104" s="185">
        <f t="shared" si="1"/>
        <v>0</v>
      </c>
    </row>
    <row r="105" spans="1:29" ht="24" x14ac:dyDescent="0.2">
      <c r="A105" s="179">
        <v>13</v>
      </c>
      <c r="B105" s="229"/>
      <c r="C105" s="229"/>
      <c r="D105" s="231" t="s">
        <v>95</v>
      </c>
      <c r="G105" s="176"/>
      <c r="H105" s="186"/>
      <c r="I105" s="176"/>
      <c r="J105" s="186"/>
      <c r="K105" s="176"/>
      <c r="L105" s="186"/>
      <c r="M105" s="176"/>
      <c r="N105" s="186"/>
      <c r="O105" s="176"/>
      <c r="P105" s="186"/>
      <c r="Q105" s="168"/>
      <c r="R105" s="186"/>
      <c r="S105" s="176"/>
      <c r="T105" s="186"/>
      <c r="U105" s="176"/>
      <c r="V105" s="186"/>
      <c r="W105" s="176"/>
      <c r="X105" s="186"/>
      <c r="Y105" s="176"/>
      <c r="Z105" s="186"/>
      <c r="AA105" s="176"/>
      <c r="AB105" s="186"/>
      <c r="AC105" s="185">
        <f t="shared" si="1"/>
        <v>0</v>
      </c>
    </row>
    <row r="106" spans="1:29" ht="24" x14ac:dyDescent="0.2">
      <c r="A106" s="179">
        <v>14</v>
      </c>
      <c r="B106" s="229"/>
      <c r="C106" s="229"/>
      <c r="D106" s="231" t="s">
        <v>96</v>
      </c>
      <c r="G106" s="176"/>
      <c r="H106" s="186"/>
      <c r="I106" s="176"/>
      <c r="J106" s="186"/>
      <c r="K106" s="176"/>
      <c r="L106" s="186"/>
      <c r="M106" s="176"/>
      <c r="N106" s="186"/>
      <c r="O106" s="176"/>
      <c r="P106" s="186"/>
      <c r="Q106" s="168"/>
      <c r="R106" s="186"/>
      <c r="S106" s="176"/>
      <c r="T106" s="186"/>
      <c r="U106" s="176"/>
      <c r="V106" s="186"/>
      <c r="W106" s="176"/>
      <c r="X106" s="186"/>
      <c r="Y106" s="176"/>
      <c r="Z106" s="186"/>
      <c r="AA106" s="176"/>
      <c r="AB106" s="186"/>
      <c r="AC106" s="185">
        <f t="shared" si="1"/>
        <v>0</v>
      </c>
    </row>
    <row r="107" spans="1:29" ht="24" x14ac:dyDescent="0.2">
      <c r="A107" s="179">
        <v>15</v>
      </c>
      <c r="B107" s="229"/>
      <c r="C107" s="229"/>
      <c r="D107" s="231" t="s">
        <v>97</v>
      </c>
      <c r="G107" s="176"/>
      <c r="H107" s="186"/>
      <c r="I107" s="176"/>
      <c r="J107" s="186"/>
      <c r="K107" s="176"/>
      <c r="L107" s="186"/>
      <c r="M107" s="176"/>
      <c r="N107" s="186"/>
      <c r="O107" s="176"/>
      <c r="P107" s="186"/>
      <c r="Q107" s="168"/>
      <c r="R107" s="186"/>
      <c r="S107" s="176"/>
      <c r="T107" s="186"/>
      <c r="U107" s="176"/>
      <c r="V107" s="186"/>
      <c r="W107" s="176"/>
      <c r="X107" s="186"/>
      <c r="Y107" s="176"/>
      <c r="Z107" s="186"/>
      <c r="AA107" s="176"/>
      <c r="AB107" s="186"/>
      <c r="AC107" s="185">
        <f t="shared" si="1"/>
        <v>0</v>
      </c>
    </row>
    <row r="108" spans="1:29" ht="24" x14ac:dyDescent="0.2">
      <c r="A108" s="179">
        <v>16</v>
      </c>
      <c r="B108" s="229"/>
      <c r="C108" s="229"/>
      <c r="D108" s="231" t="s">
        <v>98</v>
      </c>
      <c r="G108" s="176"/>
      <c r="H108" s="186"/>
      <c r="I108" s="176"/>
      <c r="J108" s="186"/>
      <c r="K108" s="176"/>
      <c r="L108" s="186"/>
      <c r="M108" s="176"/>
      <c r="N108" s="186"/>
      <c r="O108" s="176"/>
      <c r="P108" s="186"/>
      <c r="Q108" s="168"/>
      <c r="R108" s="186"/>
      <c r="S108" s="176"/>
      <c r="T108" s="186"/>
      <c r="U108" s="176"/>
      <c r="V108" s="186"/>
      <c r="W108" s="176"/>
      <c r="X108" s="186"/>
      <c r="Y108" s="176"/>
      <c r="Z108" s="186"/>
      <c r="AA108" s="176"/>
      <c r="AB108" s="186"/>
      <c r="AC108" s="185">
        <f t="shared" si="1"/>
        <v>0</v>
      </c>
    </row>
    <row r="109" spans="1:29" ht="24" x14ac:dyDescent="0.2">
      <c r="A109" s="179">
        <v>17</v>
      </c>
      <c r="B109" s="229"/>
      <c r="C109" s="229"/>
      <c r="D109" s="231" t="s">
        <v>99</v>
      </c>
      <c r="G109" s="176"/>
      <c r="H109" s="186"/>
      <c r="I109" s="176"/>
      <c r="J109" s="186"/>
      <c r="K109" s="176"/>
      <c r="L109" s="186"/>
      <c r="M109" s="176"/>
      <c r="N109" s="186"/>
      <c r="O109" s="176"/>
      <c r="P109" s="186"/>
      <c r="Q109" s="168"/>
      <c r="R109" s="186"/>
      <c r="S109" s="176"/>
      <c r="T109" s="186"/>
      <c r="U109" s="176"/>
      <c r="V109" s="186"/>
      <c r="W109" s="176"/>
      <c r="X109" s="186"/>
      <c r="Y109" s="176"/>
      <c r="Z109" s="186"/>
      <c r="AA109" s="176"/>
      <c r="AB109" s="186"/>
      <c r="AC109" s="185">
        <f t="shared" si="1"/>
        <v>0</v>
      </c>
    </row>
    <row r="110" spans="1:29" ht="24" x14ac:dyDescent="0.2">
      <c r="A110" s="179">
        <v>18</v>
      </c>
      <c r="B110" s="229"/>
      <c r="C110" s="229"/>
      <c r="D110" s="231" t="s">
        <v>100</v>
      </c>
      <c r="G110" s="176"/>
      <c r="H110" s="186"/>
      <c r="I110" s="176"/>
      <c r="J110" s="186"/>
      <c r="K110" s="176"/>
      <c r="L110" s="186"/>
      <c r="M110" s="176"/>
      <c r="N110" s="186"/>
      <c r="O110" s="176"/>
      <c r="P110" s="186"/>
      <c r="Q110" s="168"/>
      <c r="R110" s="186"/>
      <c r="S110" s="176"/>
      <c r="T110" s="186"/>
      <c r="U110" s="176"/>
      <c r="V110" s="186"/>
      <c r="W110" s="176"/>
      <c r="X110" s="186"/>
      <c r="Y110" s="176"/>
      <c r="Z110" s="186"/>
      <c r="AA110" s="176"/>
      <c r="AB110" s="186"/>
      <c r="AC110" s="185">
        <f t="shared" si="1"/>
        <v>0</v>
      </c>
    </row>
    <row r="111" spans="1:29" ht="40" x14ac:dyDescent="0.2">
      <c r="A111" s="179">
        <v>19</v>
      </c>
      <c r="B111" s="229"/>
      <c r="C111" s="229"/>
      <c r="D111" s="232" t="s">
        <v>101</v>
      </c>
      <c r="G111" s="176"/>
      <c r="H111" s="186"/>
      <c r="I111" s="176"/>
      <c r="J111" s="186"/>
      <c r="K111" s="176"/>
      <c r="L111" s="186"/>
      <c r="M111" s="176"/>
      <c r="N111" s="186"/>
      <c r="O111" s="176"/>
      <c r="P111" s="186"/>
      <c r="Q111" s="168"/>
      <c r="R111" s="186"/>
      <c r="S111" s="176"/>
      <c r="T111" s="186"/>
      <c r="U111" s="176"/>
      <c r="V111" s="186"/>
      <c r="W111" s="176"/>
      <c r="X111" s="186"/>
      <c r="Y111" s="176"/>
      <c r="Z111" s="186"/>
      <c r="AA111" s="176"/>
      <c r="AB111" s="186"/>
      <c r="AC111" s="185">
        <f t="shared" si="1"/>
        <v>0</v>
      </c>
    </row>
    <row r="112" spans="1:29" ht="24" x14ac:dyDescent="0.2">
      <c r="A112" s="179">
        <v>20</v>
      </c>
      <c r="B112" s="229"/>
      <c r="C112" s="229"/>
      <c r="D112" s="231" t="s">
        <v>102</v>
      </c>
      <c r="G112" s="176"/>
      <c r="H112" s="186"/>
      <c r="I112" s="176"/>
      <c r="J112" s="186"/>
      <c r="K112" s="176"/>
      <c r="L112" s="186"/>
      <c r="M112" s="176"/>
      <c r="N112" s="186"/>
      <c r="O112" s="176"/>
      <c r="P112" s="186"/>
      <c r="Q112" s="168"/>
      <c r="R112" s="186"/>
      <c r="S112" s="176"/>
      <c r="T112" s="186"/>
      <c r="U112" s="176"/>
      <c r="V112" s="186"/>
      <c r="W112" s="176"/>
      <c r="X112" s="186"/>
      <c r="Y112" s="176"/>
      <c r="Z112" s="186"/>
      <c r="AA112" s="176"/>
      <c r="AB112" s="186"/>
      <c r="AC112" s="185">
        <f t="shared" si="1"/>
        <v>0</v>
      </c>
    </row>
    <row r="113" spans="1:29" ht="24" x14ac:dyDescent="0.2">
      <c r="A113" s="179">
        <v>21</v>
      </c>
      <c r="B113" s="229"/>
      <c r="C113" s="229"/>
      <c r="D113" s="231" t="s">
        <v>103</v>
      </c>
      <c r="G113" s="176"/>
      <c r="H113" s="186"/>
      <c r="I113" s="176"/>
      <c r="J113" s="186"/>
      <c r="K113" s="176"/>
      <c r="L113" s="186"/>
      <c r="M113" s="176"/>
      <c r="N113" s="186"/>
      <c r="O113" s="176"/>
      <c r="P113" s="186"/>
      <c r="Q113" s="168"/>
      <c r="R113" s="186"/>
      <c r="S113" s="176"/>
      <c r="T113" s="186"/>
      <c r="U113" s="176"/>
      <c r="V113" s="186"/>
      <c r="W113" s="176"/>
      <c r="X113" s="186"/>
      <c r="Y113" s="176"/>
      <c r="Z113" s="186"/>
      <c r="AA113" s="176"/>
      <c r="AB113" s="186"/>
      <c r="AC113" s="185">
        <f t="shared" si="1"/>
        <v>0</v>
      </c>
    </row>
    <row r="114" spans="1:29" ht="24" x14ac:dyDescent="0.2">
      <c r="A114" s="179">
        <v>22</v>
      </c>
      <c r="B114" s="229"/>
      <c r="C114" s="229"/>
      <c r="D114" s="231" t="s">
        <v>104</v>
      </c>
      <c r="G114" s="176"/>
      <c r="H114" s="186"/>
      <c r="I114" s="176"/>
      <c r="J114" s="186"/>
      <c r="K114" s="176"/>
      <c r="L114" s="186"/>
      <c r="M114" s="176"/>
      <c r="N114" s="186"/>
      <c r="O114" s="176"/>
      <c r="P114" s="186"/>
      <c r="Q114" s="168"/>
      <c r="R114" s="186"/>
      <c r="S114" s="176"/>
      <c r="T114" s="186"/>
      <c r="U114" s="176"/>
      <c r="V114" s="186"/>
      <c r="W114" s="176"/>
      <c r="X114" s="186"/>
      <c r="Y114" s="176"/>
      <c r="Z114" s="186"/>
      <c r="AA114" s="176"/>
      <c r="AB114" s="186"/>
      <c r="AC114" s="185">
        <f t="shared" si="1"/>
        <v>0</v>
      </c>
    </row>
    <row r="115" spans="1:29" ht="24" x14ac:dyDescent="0.2">
      <c r="A115" s="179">
        <v>23</v>
      </c>
      <c r="B115" s="229"/>
      <c r="C115" s="229"/>
      <c r="D115" s="231" t="s">
        <v>105</v>
      </c>
      <c r="G115" s="176"/>
      <c r="H115" s="186"/>
      <c r="I115" s="176"/>
      <c r="J115" s="186"/>
      <c r="K115" s="176"/>
      <c r="L115" s="186"/>
      <c r="M115" s="176"/>
      <c r="N115" s="186"/>
      <c r="O115" s="176"/>
      <c r="P115" s="186"/>
      <c r="Q115" s="168"/>
      <c r="R115" s="186"/>
      <c r="S115" s="176"/>
      <c r="T115" s="186"/>
      <c r="U115" s="176"/>
      <c r="V115" s="186"/>
      <c r="W115" s="176"/>
      <c r="X115" s="186"/>
      <c r="Y115" s="176"/>
      <c r="Z115" s="186"/>
      <c r="AA115" s="176"/>
      <c r="AB115" s="186"/>
      <c r="AC115" s="185">
        <f t="shared" si="1"/>
        <v>0</v>
      </c>
    </row>
    <row r="116" spans="1:29" ht="24" x14ac:dyDescent="0.2">
      <c r="A116" s="179">
        <v>24</v>
      </c>
      <c r="B116" s="229"/>
      <c r="C116" s="229"/>
      <c r="D116" s="231" t="s">
        <v>106</v>
      </c>
      <c r="G116" s="176"/>
      <c r="H116" s="186"/>
      <c r="I116" s="176"/>
      <c r="J116" s="186"/>
      <c r="K116" s="176"/>
      <c r="L116" s="186"/>
      <c r="M116" s="176"/>
      <c r="N116" s="186"/>
      <c r="O116" s="176"/>
      <c r="P116" s="186"/>
      <c r="Q116" s="168"/>
      <c r="R116" s="186"/>
      <c r="S116" s="176"/>
      <c r="T116" s="186"/>
      <c r="U116" s="176"/>
      <c r="V116" s="186"/>
      <c r="W116" s="176"/>
      <c r="X116" s="186"/>
      <c r="Y116" s="176"/>
      <c r="Z116" s="186"/>
      <c r="AA116" s="176"/>
      <c r="AB116" s="186"/>
      <c r="AC116" s="185">
        <f t="shared" si="1"/>
        <v>0</v>
      </c>
    </row>
    <row r="117" spans="1:29" ht="24" x14ac:dyDescent="0.2">
      <c r="A117" s="179">
        <v>25</v>
      </c>
      <c r="B117" s="229"/>
      <c r="C117" s="229"/>
      <c r="D117" s="231" t="s">
        <v>107</v>
      </c>
      <c r="G117" s="176"/>
      <c r="H117" s="186"/>
      <c r="I117" s="176"/>
      <c r="J117" s="186"/>
      <c r="K117" s="176"/>
      <c r="L117" s="186"/>
      <c r="M117" s="176"/>
      <c r="N117" s="186"/>
      <c r="O117" s="176"/>
      <c r="P117" s="186"/>
      <c r="Q117" s="168"/>
      <c r="R117" s="186"/>
      <c r="S117" s="176"/>
      <c r="T117" s="186"/>
      <c r="U117" s="176"/>
      <c r="V117" s="186"/>
      <c r="W117" s="176"/>
      <c r="X117" s="186"/>
      <c r="Y117" s="176"/>
      <c r="Z117" s="186"/>
      <c r="AA117" s="176"/>
      <c r="AB117" s="186"/>
      <c r="AC117" s="185">
        <f t="shared" si="1"/>
        <v>0</v>
      </c>
    </row>
    <row r="118" spans="1:29" ht="24" x14ac:dyDescent="0.2">
      <c r="A118" s="179">
        <v>26</v>
      </c>
      <c r="B118" s="229"/>
      <c r="C118" s="229"/>
      <c r="D118" s="231" t="s">
        <v>108</v>
      </c>
      <c r="G118" s="176"/>
      <c r="H118" s="186"/>
      <c r="I118" s="176"/>
      <c r="J118" s="186"/>
      <c r="K118" s="176"/>
      <c r="L118" s="186"/>
      <c r="M118" s="176"/>
      <c r="N118" s="186"/>
      <c r="O118" s="176"/>
      <c r="P118" s="186"/>
      <c r="Q118" s="168"/>
      <c r="R118" s="186"/>
      <c r="S118" s="176"/>
      <c r="T118" s="186"/>
      <c r="U118" s="176"/>
      <c r="V118" s="186"/>
      <c r="W118" s="176"/>
      <c r="X118" s="186"/>
      <c r="Y118" s="176"/>
      <c r="Z118" s="186"/>
      <c r="AA118" s="176"/>
      <c r="AB118" s="186"/>
      <c r="AC118" s="185">
        <f t="shared" si="1"/>
        <v>0</v>
      </c>
    </row>
    <row r="119" spans="1:29" ht="24" x14ac:dyDescent="0.2">
      <c r="A119" s="179">
        <v>27</v>
      </c>
      <c r="B119" s="229"/>
      <c r="C119" s="229"/>
      <c r="D119" s="231" t="s">
        <v>69</v>
      </c>
      <c r="G119" s="176"/>
      <c r="H119" s="186"/>
      <c r="I119" s="176"/>
      <c r="J119" s="186"/>
      <c r="K119" s="176"/>
      <c r="L119" s="186"/>
      <c r="M119" s="176"/>
      <c r="N119" s="186"/>
      <c r="O119" s="176"/>
      <c r="P119" s="186"/>
      <c r="Q119" s="168"/>
      <c r="R119" s="186"/>
      <c r="S119" s="176"/>
      <c r="T119" s="186"/>
      <c r="U119" s="176"/>
      <c r="V119" s="186"/>
      <c r="W119" s="176"/>
      <c r="X119" s="186"/>
      <c r="Y119" s="176"/>
      <c r="Z119" s="186"/>
      <c r="AA119" s="176"/>
      <c r="AB119" s="186"/>
      <c r="AC119" s="185">
        <f t="shared" si="1"/>
        <v>0</v>
      </c>
    </row>
    <row r="120" spans="1:29" ht="24" x14ac:dyDescent="0.2">
      <c r="A120" s="179">
        <v>28</v>
      </c>
      <c r="B120" s="229"/>
      <c r="C120" s="229"/>
      <c r="D120" s="231" t="s">
        <v>109</v>
      </c>
      <c r="G120" s="176"/>
      <c r="H120" s="186"/>
      <c r="I120" s="176"/>
      <c r="J120" s="186"/>
      <c r="K120" s="176"/>
      <c r="L120" s="186"/>
      <c r="M120" s="176"/>
      <c r="N120" s="186"/>
      <c r="O120" s="176"/>
      <c r="P120" s="186"/>
      <c r="Q120" s="168"/>
      <c r="R120" s="186"/>
      <c r="S120" s="176"/>
      <c r="T120" s="186"/>
      <c r="U120" s="176"/>
      <c r="V120" s="186"/>
      <c r="W120" s="176"/>
      <c r="X120" s="186"/>
      <c r="Y120" s="176"/>
      <c r="Z120" s="186"/>
      <c r="AA120" s="176"/>
      <c r="AB120" s="186"/>
      <c r="AC120" s="185">
        <f t="shared" si="1"/>
        <v>0</v>
      </c>
    </row>
    <row r="121" spans="1:29" ht="24" x14ac:dyDescent="0.2">
      <c r="A121" s="179">
        <v>29</v>
      </c>
      <c r="B121" s="229"/>
      <c r="C121" s="229"/>
      <c r="D121" s="231" t="s">
        <v>110</v>
      </c>
      <c r="G121" s="176"/>
      <c r="H121" s="186"/>
      <c r="I121" s="176"/>
      <c r="J121" s="186"/>
      <c r="K121" s="176"/>
      <c r="L121" s="186"/>
      <c r="M121" s="176"/>
      <c r="N121" s="186"/>
      <c r="O121" s="176"/>
      <c r="P121" s="186"/>
      <c r="Q121" s="168"/>
      <c r="R121" s="186"/>
      <c r="S121" s="176"/>
      <c r="T121" s="186"/>
      <c r="U121" s="176"/>
      <c r="V121" s="186"/>
      <c r="W121" s="176"/>
      <c r="X121" s="186"/>
      <c r="Y121" s="176"/>
      <c r="Z121" s="186"/>
      <c r="AA121" s="176"/>
      <c r="AB121" s="186"/>
      <c r="AC121" s="185">
        <f t="shared" si="1"/>
        <v>0</v>
      </c>
    </row>
    <row r="122" spans="1:29" ht="24" x14ac:dyDescent="0.2">
      <c r="A122" s="179">
        <v>30</v>
      </c>
      <c r="B122" s="229"/>
      <c r="C122" s="229"/>
      <c r="D122" s="231" t="s">
        <v>111</v>
      </c>
      <c r="G122" s="176"/>
      <c r="H122" s="186"/>
      <c r="I122" s="176"/>
      <c r="J122" s="186"/>
      <c r="K122" s="176"/>
      <c r="L122" s="186"/>
      <c r="M122" s="176"/>
      <c r="N122" s="186"/>
      <c r="O122" s="176"/>
      <c r="P122" s="186"/>
      <c r="Q122" s="168"/>
      <c r="R122" s="186"/>
      <c r="S122" s="176"/>
      <c r="T122" s="186"/>
      <c r="U122" s="176"/>
      <c r="V122" s="186"/>
      <c r="W122" s="176"/>
      <c r="X122" s="186"/>
      <c r="Y122" s="176"/>
      <c r="Z122" s="186"/>
      <c r="AA122" s="176"/>
      <c r="AB122" s="186"/>
      <c r="AC122" s="185">
        <f t="shared" si="1"/>
        <v>0</v>
      </c>
    </row>
    <row r="123" spans="1:29" ht="24" x14ac:dyDescent="0.25">
      <c r="A123" s="179">
        <v>31</v>
      </c>
      <c r="B123" s="229"/>
      <c r="C123" s="229"/>
      <c r="D123" s="230" t="s">
        <v>112</v>
      </c>
      <c r="G123" s="176"/>
      <c r="H123" s="186"/>
      <c r="I123" s="176"/>
      <c r="J123" s="186"/>
      <c r="K123" s="176"/>
      <c r="L123" s="186"/>
      <c r="M123" s="176"/>
      <c r="N123" s="186"/>
      <c r="O123" s="176"/>
      <c r="P123" s="186"/>
      <c r="Q123" s="168"/>
      <c r="R123" s="186"/>
      <c r="S123" s="176"/>
      <c r="T123" s="186"/>
      <c r="U123" s="176"/>
      <c r="V123" s="186"/>
      <c r="W123" s="176"/>
      <c r="X123" s="186"/>
      <c r="Y123" s="176"/>
      <c r="Z123" s="186"/>
      <c r="AA123" s="176"/>
      <c r="AB123" s="186"/>
      <c r="AC123" s="185">
        <f t="shared" si="1"/>
        <v>0</v>
      </c>
    </row>
    <row r="124" spans="1:29" ht="24" x14ac:dyDescent="0.2">
      <c r="A124" s="179">
        <v>32</v>
      </c>
      <c r="B124" s="229"/>
      <c r="C124" s="229"/>
      <c r="D124" s="231" t="s">
        <v>113</v>
      </c>
      <c r="G124" s="176"/>
      <c r="H124" s="186"/>
      <c r="I124" s="176"/>
      <c r="J124" s="186"/>
      <c r="K124" s="176"/>
      <c r="L124" s="186"/>
      <c r="M124" s="176"/>
      <c r="N124" s="186"/>
      <c r="O124" s="176"/>
      <c r="P124" s="186"/>
      <c r="Q124" s="168"/>
      <c r="R124" s="186"/>
      <c r="S124" s="176"/>
      <c r="T124" s="186"/>
      <c r="U124" s="176"/>
      <c r="V124" s="186"/>
      <c r="W124" s="176"/>
      <c r="X124" s="186"/>
      <c r="Y124" s="176"/>
      <c r="Z124" s="186"/>
      <c r="AA124" s="176"/>
      <c r="AB124" s="186"/>
      <c r="AC124" s="185">
        <f t="shared" si="1"/>
        <v>0</v>
      </c>
    </row>
    <row r="125" spans="1:29" ht="24" x14ac:dyDescent="0.2">
      <c r="A125" s="179">
        <v>33</v>
      </c>
      <c r="B125" s="229"/>
      <c r="C125" s="229"/>
      <c r="D125" s="231" t="s">
        <v>114</v>
      </c>
      <c r="G125" s="176"/>
      <c r="H125" s="186"/>
      <c r="I125" s="176"/>
      <c r="J125" s="186"/>
      <c r="K125" s="176"/>
      <c r="L125" s="186"/>
      <c r="M125" s="176"/>
      <c r="N125" s="186"/>
      <c r="O125" s="176"/>
      <c r="P125" s="186"/>
      <c r="Q125" s="168"/>
      <c r="R125" s="186"/>
      <c r="S125" s="176"/>
      <c r="T125" s="186"/>
      <c r="U125" s="176"/>
      <c r="V125" s="186"/>
      <c r="W125" s="176"/>
      <c r="X125" s="186"/>
      <c r="Y125" s="176"/>
      <c r="Z125" s="186"/>
      <c r="AA125" s="176"/>
      <c r="AB125" s="186"/>
      <c r="AC125" s="185">
        <f t="shared" si="1"/>
        <v>0</v>
      </c>
    </row>
    <row r="126" spans="1:29" ht="24" x14ac:dyDescent="0.2">
      <c r="A126" s="179">
        <v>34</v>
      </c>
      <c r="B126" s="229"/>
      <c r="C126" s="229"/>
      <c r="D126" s="231" t="s">
        <v>115</v>
      </c>
      <c r="G126" s="176"/>
      <c r="H126" s="186"/>
      <c r="I126" s="176"/>
      <c r="J126" s="186"/>
      <c r="K126" s="176"/>
      <c r="L126" s="186"/>
      <c r="M126" s="176"/>
      <c r="N126" s="186"/>
      <c r="O126" s="176"/>
      <c r="P126" s="186"/>
      <c r="Q126" s="168"/>
      <c r="R126" s="186"/>
      <c r="S126" s="176"/>
      <c r="T126" s="186"/>
      <c r="U126" s="176"/>
      <c r="V126" s="186"/>
      <c r="W126" s="176"/>
      <c r="X126" s="186"/>
      <c r="Y126" s="176"/>
      <c r="Z126" s="186"/>
      <c r="AA126" s="176"/>
      <c r="AB126" s="186"/>
      <c r="AC126" s="185">
        <f t="shared" si="1"/>
        <v>0</v>
      </c>
    </row>
    <row r="127" spans="1:29" ht="24" x14ac:dyDescent="0.2">
      <c r="A127" s="179">
        <v>35</v>
      </c>
      <c r="B127" s="229"/>
      <c r="C127" s="229"/>
      <c r="D127" s="231" t="s">
        <v>116</v>
      </c>
      <c r="G127" s="176"/>
      <c r="H127" s="186"/>
      <c r="I127" s="176"/>
      <c r="J127" s="186"/>
      <c r="K127" s="176"/>
      <c r="L127" s="186"/>
      <c r="M127" s="176"/>
      <c r="N127" s="186"/>
      <c r="O127" s="176"/>
      <c r="P127" s="186"/>
      <c r="Q127" s="168"/>
      <c r="R127" s="186"/>
      <c r="S127" s="176"/>
      <c r="T127" s="186"/>
      <c r="U127" s="176"/>
      <c r="V127" s="186"/>
      <c r="W127" s="176"/>
      <c r="X127" s="186"/>
      <c r="Y127" s="176"/>
      <c r="Z127" s="186"/>
      <c r="AA127" s="176"/>
      <c r="AB127" s="186"/>
      <c r="AC127" s="185">
        <f t="shared" si="1"/>
        <v>0</v>
      </c>
    </row>
    <row r="128" spans="1:29" ht="24" x14ac:dyDescent="0.2">
      <c r="A128" s="179">
        <v>36</v>
      </c>
      <c r="B128" s="229"/>
      <c r="C128" s="229"/>
      <c r="D128" s="231" t="s">
        <v>117</v>
      </c>
      <c r="G128" s="176"/>
      <c r="H128" s="186"/>
      <c r="I128" s="176"/>
      <c r="J128" s="186"/>
      <c r="K128" s="176"/>
      <c r="L128" s="186"/>
      <c r="M128" s="176"/>
      <c r="N128" s="186"/>
      <c r="O128" s="176"/>
      <c r="P128" s="186"/>
      <c r="Q128" s="168"/>
      <c r="R128" s="186"/>
      <c r="S128" s="176"/>
      <c r="T128" s="186"/>
      <c r="U128" s="176"/>
      <c r="V128" s="186"/>
      <c r="W128" s="176"/>
      <c r="X128" s="186"/>
      <c r="Y128" s="176"/>
      <c r="Z128" s="186"/>
      <c r="AA128" s="176"/>
      <c r="AB128" s="186"/>
      <c r="AC128" s="185">
        <f t="shared" si="1"/>
        <v>0</v>
      </c>
    </row>
    <row r="129" spans="1:29" ht="24" x14ac:dyDescent="0.2">
      <c r="A129" s="179">
        <v>37</v>
      </c>
      <c r="B129" s="229"/>
      <c r="C129" s="229"/>
      <c r="D129" s="231" t="s">
        <v>118</v>
      </c>
      <c r="G129" s="176"/>
      <c r="H129" s="186"/>
      <c r="I129" s="176"/>
      <c r="J129" s="186"/>
      <c r="K129" s="176"/>
      <c r="L129" s="186"/>
      <c r="M129" s="176"/>
      <c r="N129" s="186"/>
      <c r="O129" s="176"/>
      <c r="P129" s="186"/>
      <c r="Q129" s="168"/>
      <c r="R129" s="186"/>
      <c r="S129" s="176"/>
      <c r="T129" s="186"/>
      <c r="U129" s="176"/>
      <c r="V129" s="186"/>
      <c r="W129" s="176"/>
      <c r="X129" s="186"/>
      <c r="Y129" s="176"/>
      <c r="Z129" s="186"/>
      <c r="AA129" s="176"/>
      <c r="AB129" s="186"/>
      <c r="AC129" s="185">
        <f t="shared" si="1"/>
        <v>0</v>
      </c>
    </row>
    <row r="130" spans="1:29" ht="24" x14ac:dyDescent="0.2">
      <c r="A130" s="179">
        <v>38</v>
      </c>
      <c r="B130" s="229"/>
      <c r="C130" s="229"/>
      <c r="D130" s="231" t="s">
        <v>249</v>
      </c>
      <c r="G130" s="176"/>
      <c r="H130" s="186"/>
      <c r="I130" s="176"/>
      <c r="J130" s="186"/>
      <c r="K130" s="176"/>
      <c r="L130" s="186"/>
      <c r="M130" s="176"/>
      <c r="N130" s="186"/>
      <c r="O130" s="176"/>
      <c r="P130" s="186"/>
      <c r="Q130" s="168"/>
      <c r="R130" s="186"/>
      <c r="S130" s="176"/>
      <c r="T130" s="186"/>
      <c r="U130" s="176"/>
      <c r="V130" s="186"/>
      <c r="W130" s="176"/>
      <c r="X130" s="186"/>
      <c r="Y130" s="176"/>
      <c r="Z130" s="186"/>
      <c r="AA130" s="176"/>
      <c r="AB130" s="186"/>
      <c r="AC130" s="185">
        <f t="shared" si="1"/>
        <v>0</v>
      </c>
    </row>
    <row r="131" spans="1:29" ht="24" x14ac:dyDescent="0.2">
      <c r="A131" s="373"/>
      <c r="B131" s="373"/>
      <c r="C131" s="373"/>
      <c r="D131" s="373"/>
      <c r="G131" s="176"/>
      <c r="H131" s="186"/>
      <c r="I131" s="176"/>
      <c r="J131" s="186"/>
      <c r="K131" s="176"/>
      <c r="L131" s="186"/>
      <c r="M131" s="176"/>
      <c r="N131" s="186"/>
      <c r="O131" s="176"/>
      <c r="P131" s="186"/>
      <c r="Q131" s="168"/>
      <c r="R131" s="186"/>
      <c r="S131" s="176"/>
      <c r="T131" s="186"/>
      <c r="U131" s="176"/>
      <c r="V131" s="186"/>
      <c r="W131" s="176"/>
      <c r="X131" s="186"/>
      <c r="Y131" s="176"/>
      <c r="Z131" s="186"/>
      <c r="AA131" s="176"/>
      <c r="AB131" s="186"/>
      <c r="AC131" s="185">
        <f t="shared" si="1"/>
        <v>0</v>
      </c>
    </row>
    <row r="132" spans="1:29" ht="24" x14ac:dyDescent="0.2">
      <c r="A132" s="174"/>
      <c r="B132" s="174" t="s">
        <v>243</v>
      </c>
      <c r="C132" s="174"/>
      <c r="D132" s="174" t="s">
        <v>120</v>
      </c>
      <c r="G132" s="176"/>
      <c r="H132" s="186"/>
      <c r="I132" s="176"/>
      <c r="J132" s="186"/>
      <c r="K132" s="176"/>
      <c r="L132" s="186"/>
      <c r="M132" s="176"/>
      <c r="N132" s="186"/>
      <c r="O132" s="176"/>
      <c r="P132" s="186"/>
      <c r="Q132" s="168"/>
      <c r="R132" s="186"/>
      <c r="S132" s="176"/>
      <c r="T132" s="186"/>
      <c r="U132" s="176"/>
      <c r="V132" s="186"/>
      <c r="W132" s="176"/>
      <c r="X132" s="186"/>
      <c r="Y132" s="176"/>
      <c r="Z132" s="186"/>
      <c r="AA132" s="176"/>
      <c r="AB132" s="186"/>
      <c r="AC132" s="185">
        <f t="shared" si="1"/>
        <v>0</v>
      </c>
    </row>
    <row r="133" spans="1:29" ht="24" x14ac:dyDescent="0.25">
      <c r="A133" s="233">
        <v>1</v>
      </c>
      <c r="B133" s="233"/>
      <c r="C133" s="233"/>
      <c r="D133" s="234" t="s">
        <v>121</v>
      </c>
      <c r="G133" s="176"/>
      <c r="H133" s="186"/>
      <c r="I133" s="176"/>
      <c r="J133" s="186"/>
      <c r="K133" s="176"/>
      <c r="L133" s="186"/>
      <c r="M133" s="176"/>
      <c r="N133" s="186"/>
      <c r="O133" s="176"/>
      <c r="P133" s="186"/>
      <c r="Q133" s="168"/>
      <c r="R133" s="186"/>
      <c r="S133" s="176"/>
      <c r="T133" s="186"/>
      <c r="U133" s="176"/>
      <c r="V133" s="186"/>
      <c r="W133" s="176"/>
      <c r="X133" s="186"/>
      <c r="Y133" s="176"/>
      <c r="Z133" s="186"/>
      <c r="AA133" s="176"/>
      <c r="AB133" s="186"/>
      <c r="AC133" s="185">
        <f t="shared" si="1"/>
        <v>0</v>
      </c>
    </row>
    <row r="134" spans="1:29" ht="24" x14ac:dyDescent="0.25">
      <c r="A134" s="233">
        <v>2</v>
      </c>
      <c r="B134" s="233"/>
      <c r="C134" s="233"/>
      <c r="D134" s="234" t="s">
        <v>123</v>
      </c>
      <c r="G134" s="176"/>
      <c r="H134" s="186"/>
      <c r="I134" s="176"/>
      <c r="J134" s="186"/>
      <c r="K134" s="176"/>
      <c r="L134" s="186"/>
      <c r="M134" s="176"/>
      <c r="N134" s="186"/>
      <c r="O134" s="176"/>
      <c r="P134" s="186"/>
      <c r="Q134" s="168"/>
      <c r="R134" s="186"/>
      <c r="S134" s="176"/>
      <c r="T134" s="186"/>
      <c r="U134" s="176"/>
      <c r="V134" s="186"/>
      <c r="W134" s="176"/>
      <c r="X134" s="186"/>
      <c r="Y134" s="176"/>
      <c r="Z134" s="186"/>
      <c r="AA134" s="176"/>
      <c r="AB134" s="186"/>
      <c r="AC134" s="185">
        <f t="shared" si="1"/>
        <v>0</v>
      </c>
    </row>
    <row r="135" spans="1:29" ht="24" x14ac:dyDescent="0.2">
      <c r="A135" s="373"/>
      <c r="B135" s="373"/>
      <c r="C135" s="373"/>
      <c r="D135" s="373"/>
      <c r="G135" s="176"/>
      <c r="H135" s="186"/>
      <c r="I135" s="176"/>
      <c r="J135" s="186"/>
      <c r="K135" s="176"/>
      <c r="L135" s="186"/>
      <c r="M135" s="176"/>
      <c r="N135" s="186"/>
      <c r="O135" s="176"/>
      <c r="P135" s="186"/>
      <c r="Q135" s="168"/>
      <c r="R135" s="186"/>
      <c r="S135" s="176"/>
      <c r="T135" s="186"/>
      <c r="U135" s="176"/>
      <c r="V135" s="186"/>
      <c r="W135" s="176"/>
      <c r="X135" s="186"/>
      <c r="Y135" s="176"/>
      <c r="Z135" s="186"/>
      <c r="AA135" s="176"/>
      <c r="AB135" s="186"/>
      <c r="AC135" s="185">
        <f t="shared" si="1"/>
        <v>0</v>
      </c>
    </row>
    <row r="136" spans="1:29" ht="24" x14ac:dyDescent="0.2">
      <c r="A136" s="174"/>
      <c r="B136" s="174" t="s">
        <v>243</v>
      </c>
      <c r="C136" s="174" t="s">
        <v>124</v>
      </c>
      <c r="D136" s="174" t="s">
        <v>246</v>
      </c>
      <c r="G136" s="176"/>
      <c r="H136" s="186"/>
      <c r="I136" s="176"/>
      <c r="J136" s="186"/>
      <c r="K136" s="176"/>
      <c r="L136" s="186"/>
      <c r="M136" s="176"/>
      <c r="N136" s="186"/>
      <c r="O136" s="176"/>
      <c r="P136" s="186"/>
      <c r="Q136" s="168"/>
      <c r="R136" s="186"/>
      <c r="S136" s="176"/>
      <c r="T136" s="186"/>
      <c r="U136" s="176"/>
      <c r="V136" s="186"/>
      <c r="W136" s="176"/>
      <c r="X136" s="186"/>
      <c r="Y136" s="176"/>
      <c r="Z136" s="186"/>
      <c r="AA136" s="176"/>
      <c r="AB136" s="186"/>
      <c r="AC136" s="185">
        <f t="shared" si="1"/>
        <v>0</v>
      </c>
    </row>
    <row r="137" spans="1:29" ht="24" x14ac:dyDescent="0.25">
      <c r="A137" s="235">
        <v>1</v>
      </c>
      <c r="B137" s="235"/>
      <c r="C137" s="235"/>
      <c r="D137" s="236" t="s">
        <v>125</v>
      </c>
      <c r="G137" s="176"/>
      <c r="H137" s="186"/>
      <c r="I137" s="176"/>
      <c r="J137" s="186"/>
      <c r="K137" s="176"/>
      <c r="L137" s="186"/>
      <c r="M137" s="176"/>
      <c r="N137" s="186"/>
      <c r="O137" s="176"/>
      <c r="P137" s="186"/>
      <c r="Q137" s="168"/>
      <c r="R137" s="186"/>
      <c r="S137" s="176"/>
      <c r="T137" s="186"/>
      <c r="U137" s="176"/>
      <c r="V137" s="186"/>
      <c r="W137" s="176"/>
      <c r="X137" s="186"/>
      <c r="Y137" s="176"/>
      <c r="Z137" s="186"/>
      <c r="AA137" s="176"/>
      <c r="AB137" s="186"/>
      <c r="AC137" s="185">
        <f t="shared" si="1"/>
        <v>0</v>
      </c>
    </row>
    <row r="138" spans="1:29" ht="24" x14ac:dyDescent="0.25">
      <c r="A138" s="235">
        <v>2</v>
      </c>
      <c r="B138" s="235"/>
      <c r="C138" s="235"/>
      <c r="D138" s="236" t="s">
        <v>126</v>
      </c>
      <c r="G138" s="176"/>
      <c r="H138" s="186"/>
      <c r="I138" s="176"/>
      <c r="J138" s="186"/>
      <c r="K138" s="176"/>
      <c r="L138" s="186"/>
      <c r="M138" s="176"/>
      <c r="N138" s="186"/>
      <c r="O138" s="176"/>
      <c r="P138" s="186"/>
      <c r="Q138" s="168"/>
      <c r="R138" s="186"/>
      <c r="S138" s="176"/>
      <c r="T138" s="186"/>
      <c r="U138" s="176"/>
      <c r="V138" s="186"/>
      <c r="W138" s="176"/>
      <c r="X138" s="186"/>
      <c r="Y138" s="176"/>
      <c r="Z138" s="186"/>
      <c r="AA138" s="176"/>
      <c r="AB138" s="186"/>
      <c r="AC138" s="185">
        <f t="shared" si="1"/>
        <v>0</v>
      </c>
    </row>
    <row r="139" spans="1:29" ht="24" x14ac:dyDescent="0.25">
      <c r="A139" s="235">
        <v>3</v>
      </c>
      <c r="B139" s="235"/>
      <c r="C139" s="235"/>
      <c r="D139" s="236" t="s">
        <v>127</v>
      </c>
      <c r="G139" s="176"/>
      <c r="H139" s="186"/>
      <c r="I139" s="176"/>
      <c r="J139" s="186"/>
      <c r="K139" s="176"/>
      <c r="L139" s="186"/>
      <c r="M139" s="176"/>
      <c r="N139" s="186"/>
      <c r="O139" s="176"/>
      <c r="P139" s="186"/>
      <c r="Q139" s="168"/>
      <c r="R139" s="186"/>
      <c r="S139" s="176"/>
      <c r="T139" s="186"/>
      <c r="U139" s="176"/>
      <c r="V139" s="186"/>
      <c r="W139" s="176"/>
      <c r="X139" s="186"/>
      <c r="Y139" s="176"/>
      <c r="Z139" s="186"/>
      <c r="AA139" s="176"/>
      <c r="AB139" s="186"/>
      <c r="AC139" s="185">
        <f t="shared" si="1"/>
        <v>0</v>
      </c>
    </row>
    <row r="140" spans="1:29" ht="24" x14ac:dyDescent="0.25">
      <c r="A140" s="235">
        <v>4</v>
      </c>
      <c r="B140" s="235"/>
      <c r="C140" s="235"/>
      <c r="D140" s="236" t="s">
        <v>128</v>
      </c>
      <c r="G140" s="176"/>
      <c r="H140" s="186"/>
      <c r="I140" s="176"/>
      <c r="J140" s="186"/>
      <c r="K140" s="176"/>
      <c r="L140" s="186"/>
      <c r="M140" s="176"/>
      <c r="N140" s="186"/>
      <c r="O140" s="176"/>
      <c r="P140" s="186"/>
      <c r="Q140" s="168"/>
      <c r="R140" s="186"/>
      <c r="S140" s="176"/>
      <c r="T140" s="186"/>
      <c r="U140" s="176"/>
      <c r="V140" s="186"/>
      <c r="W140" s="176"/>
      <c r="X140" s="186"/>
      <c r="Y140" s="176"/>
      <c r="Z140" s="186"/>
      <c r="AA140" s="176"/>
      <c r="AB140" s="186"/>
      <c r="AC140" s="185">
        <f t="shared" ref="AC140:AC203" si="2">SUM(E140:AB140)</f>
        <v>0</v>
      </c>
    </row>
    <row r="141" spans="1:29" ht="24" x14ac:dyDescent="0.25">
      <c r="A141" s="235">
        <v>5</v>
      </c>
      <c r="B141" s="235"/>
      <c r="C141" s="235"/>
      <c r="D141" s="236" t="s">
        <v>129</v>
      </c>
      <c r="G141" s="176"/>
      <c r="H141" s="186"/>
      <c r="I141" s="176"/>
      <c r="J141" s="186"/>
      <c r="K141" s="176"/>
      <c r="L141" s="186"/>
      <c r="M141" s="176"/>
      <c r="N141" s="186"/>
      <c r="O141" s="176"/>
      <c r="P141" s="186"/>
      <c r="Q141" s="168"/>
      <c r="R141" s="186"/>
      <c r="S141" s="176"/>
      <c r="T141" s="186"/>
      <c r="U141" s="176"/>
      <c r="V141" s="186"/>
      <c r="W141" s="176"/>
      <c r="X141" s="186"/>
      <c r="Y141" s="176"/>
      <c r="Z141" s="186"/>
      <c r="AA141" s="176"/>
      <c r="AB141" s="186"/>
      <c r="AC141" s="185">
        <f t="shared" si="2"/>
        <v>0</v>
      </c>
    </row>
    <row r="142" spans="1:29" ht="24" x14ac:dyDescent="0.25">
      <c r="A142" s="235">
        <v>6</v>
      </c>
      <c r="B142" s="235"/>
      <c r="C142" s="235"/>
      <c r="D142" s="236" t="s">
        <v>130</v>
      </c>
      <c r="G142" s="176"/>
      <c r="H142" s="186"/>
      <c r="I142" s="176"/>
      <c r="J142" s="186"/>
      <c r="K142" s="176"/>
      <c r="L142" s="186"/>
      <c r="M142" s="176"/>
      <c r="N142" s="186"/>
      <c r="O142" s="176"/>
      <c r="P142" s="186"/>
      <c r="Q142" s="168"/>
      <c r="R142" s="186"/>
      <c r="S142" s="176"/>
      <c r="T142" s="186"/>
      <c r="U142" s="176"/>
      <c r="V142" s="186"/>
      <c r="W142" s="176"/>
      <c r="X142" s="186"/>
      <c r="Y142" s="176"/>
      <c r="Z142" s="186"/>
      <c r="AA142" s="176"/>
      <c r="AB142" s="186"/>
      <c r="AC142" s="185">
        <f t="shared" si="2"/>
        <v>0</v>
      </c>
    </row>
    <row r="143" spans="1:29" ht="24" x14ac:dyDescent="0.25">
      <c r="A143" s="235">
        <v>7</v>
      </c>
      <c r="B143" s="235"/>
      <c r="C143" s="235"/>
      <c r="D143" s="236" t="s">
        <v>131</v>
      </c>
      <c r="G143" s="176"/>
      <c r="H143" s="186"/>
      <c r="I143" s="176"/>
      <c r="J143" s="186"/>
      <c r="K143" s="176"/>
      <c r="L143" s="186"/>
      <c r="M143" s="176"/>
      <c r="N143" s="186"/>
      <c r="O143" s="176"/>
      <c r="P143" s="186"/>
      <c r="Q143" s="168"/>
      <c r="R143" s="186"/>
      <c r="S143" s="176"/>
      <c r="T143" s="186"/>
      <c r="U143" s="176"/>
      <c r="V143" s="186"/>
      <c r="W143" s="176"/>
      <c r="X143" s="186"/>
      <c r="Y143" s="176"/>
      <c r="Z143" s="186"/>
      <c r="AA143" s="176"/>
      <c r="AB143" s="186"/>
      <c r="AC143" s="185">
        <f t="shared" si="2"/>
        <v>0</v>
      </c>
    </row>
    <row r="144" spans="1:29" ht="24" x14ac:dyDescent="0.25">
      <c r="A144" s="235">
        <v>8</v>
      </c>
      <c r="B144" s="235"/>
      <c r="C144" s="235"/>
      <c r="D144" s="236" t="s">
        <v>132</v>
      </c>
      <c r="G144" s="176"/>
      <c r="H144" s="186"/>
      <c r="I144" s="176"/>
      <c r="J144" s="186"/>
      <c r="K144" s="176"/>
      <c r="L144" s="186"/>
      <c r="M144" s="176"/>
      <c r="N144" s="186"/>
      <c r="O144" s="176"/>
      <c r="P144" s="186"/>
      <c r="Q144" s="168"/>
      <c r="R144" s="186"/>
      <c r="S144" s="176"/>
      <c r="T144" s="186"/>
      <c r="U144" s="176"/>
      <c r="V144" s="186"/>
      <c r="W144" s="176"/>
      <c r="X144" s="186"/>
      <c r="Y144" s="176"/>
      <c r="Z144" s="186"/>
      <c r="AA144" s="176"/>
      <c r="AB144" s="186"/>
      <c r="AC144" s="185">
        <f t="shared" si="2"/>
        <v>0</v>
      </c>
    </row>
    <row r="145" spans="1:29" ht="24" x14ac:dyDescent="0.25">
      <c r="A145" s="235">
        <v>9</v>
      </c>
      <c r="B145" s="235"/>
      <c r="C145" s="235"/>
      <c r="D145" s="236" t="s">
        <v>133</v>
      </c>
      <c r="G145" s="176"/>
      <c r="H145" s="186"/>
      <c r="I145" s="176"/>
      <c r="J145" s="186"/>
      <c r="K145" s="176"/>
      <c r="L145" s="186"/>
      <c r="M145" s="176"/>
      <c r="N145" s="186"/>
      <c r="O145" s="176"/>
      <c r="P145" s="186"/>
      <c r="Q145" s="168"/>
      <c r="R145" s="186"/>
      <c r="S145" s="176"/>
      <c r="T145" s="186"/>
      <c r="U145" s="176"/>
      <c r="V145" s="186"/>
      <c r="W145" s="176"/>
      <c r="X145" s="186"/>
      <c r="Y145" s="176"/>
      <c r="Z145" s="186"/>
      <c r="AA145" s="176"/>
      <c r="AB145" s="186"/>
      <c r="AC145" s="185">
        <f t="shared" si="2"/>
        <v>0</v>
      </c>
    </row>
    <row r="146" spans="1:29" ht="24" x14ac:dyDescent="0.25">
      <c r="A146" s="235">
        <v>10</v>
      </c>
      <c r="B146" s="235"/>
      <c r="C146" s="235"/>
      <c r="D146" s="236" t="s">
        <v>134</v>
      </c>
      <c r="G146" s="176"/>
      <c r="H146" s="186"/>
      <c r="I146" s="176"/>
      <c r="J146" s="186"/>
      <c r="K146" s="176"/>
      <c r="L146" s="186"/>
      <c r="M146" s="176"/>
      <c r="N146" s="186"/>
      <c r="O146" s="176"/>
      <c r="P146" s="186"/>
      <c r="Q146" s="168"/>
      <c r="R146" s="186"/>
      <c r="S146" s="176"/>
      <c r="T146" s="186"/>
      <c r="U146" s="176"/>
      <c r="V146" s="186"/>
      <c r="W146" s="176"/>
      <c r="X146" s="186"/>
      <c r="Y146" s="176"/>
      <c r="Z146" s="186"/>
      <c r="AA146" s="176"/>
      <c r="AB146" s="186"/>
      <c r="AC146" s="185">
        <f t="shared" si="2"/>
        <v>0</v>
      </c>
    </row>
    <row r="147" spans="1:29" ht="24" x14ac:dyDescent="0.25">
      <c r="A147" s="235">
        <v>11</v>
      </c>
      <c r="B147" s="235"/>
      <c r="C147" s="235"/>
      <c r="D147" s="236" t="s">
        <v>135</v>
      </c>
      <c r="G147" s="176"/>
      <c r="H147" s="186"/>
      <c r="I147" s="176"/>
      <c r="J147" s="186"/>
      <c r="K147" s="176"/>
      <c r="L147" s="186"/>
      <c r="M147" s="176"/>
      <c r="N147" s="186"/>
      <c r="O147" s="176"/>
      <c r="P147" s="186"/>
      <c r="Q147" s="168"/>
      <c r="R147" s="186"/>
      <c r="S147" s="176"/>
      <c r="T147" s="186"/>
      <c r="U147" s="176"/>
      <c r="V147" s="186"/>
      <c r="W147" s="176"/>
      <c r="X147" s="186"/>
      <c r="Y147" s="176"/>
      <c r="Z147" s="186"/>
      <c r="AA147" s="176"/>
      <c r="AB147" s="186"/>
      <c r="AC147" s="185">
        <f t="shared" si="2"/>
        <v>0</v>
      </c>
    </row>
    <row r="148" spans="1:29" ht="24" x14ac:dyDescent="0.25">
      <c r="A148" s="235">
        <v>12</v>
      </c>
      <c r="B148" s="235"/>
      <c r="C148" s="235"/>
      <c r="D148" s="236" t="s">
        <v>136</v>
      </c>
      <c r="G148" s="176"/>
      <c r="H148" s="186"/>
      <c r="I148" s="176"/>
      <c r="J148" s="186"/>
      <c r="K148" s="176"/>
      <c r="L148" s="186"/>
      <c r="M148" s="176"/>
      <c r="N148" s="186"/>
      <c r="O148" s="176"/>
      <c r="P148" s="186"/>
      <c r="Q148" s="168"/>
      <c r="R148" s="186"/>
      <c r="S148" s="176"/>
      <c r="T148" s="186"/>
      <c r="U148" s="176"/>
      <c r="V148" s="186"/>
      <c r="W148" s="176"/>
      <c r="X148" s="186"/>
      <c r="Y148" s="176"/>
      <c r="Z148" s="186"/>
      <c r="AA148" s="176"/>
      <c r="AB148" s="186"/>
      <c r="AC148" s="185">
        <f t="shared" si="2"/>
        <v>0</v>
      </c>
    </row>
    <row r="149" spans="1:29" ht="24" x14ac:dyDescent="0.25">
      <c r="A149" s="235">
        <v>13</v>
      </c>
      <c r="B149" s="235"/>
      <c r="C149" s="235"/>
      <c r="D149" s="236" t="s">
        <v>137</v>
      </c>
      <c r="G149" s="176"/>
      <c r="H149" s="186"/>
      <c r="I149" s="176"/>
      <c r="J149" s="186"/>
      <c r="K149" s="176"/>
      <c r="L149" s="186"/>
      <c r="M149" s="176"/>
      <c r="N149" s="186"/>
      <c r="O149" s="176"/>
      <c r="P149" s="186"/>
      <c r="Q149" s="168"/>
      <c r="R149" s="186"/>
      <c r="S149" s="176"/>
      <c r="T149" s="186"/>
      <c r="U149" s="176"/>
      <c r="V149" s="186"/>
      <c r="W149" s="176"/>
      <c r="X149" s="186"/>
      <c r="Y149" s="176"/>
      <c r="Z149" s="186"/>
      <c r="AA149" s="176"/>
      <c r="AB149" s="186"/>
      <c r="AC149" s="185">
        <f t="shared" si="2"/>
        <v>0</v>
      </c>
    </row>
    <row r="150" spans="1:29" ht="24" x14ac:dyDescent="0.25">
      <c r="A150" s="235">
        <v>14</v>
      </c>
      <c r="B150" s="235"/>
      <c r="C150" s="235"/>
      <c r="D150" s="236" t="s">
        <v>138</v>
      </c>
      <c r="G150" s="176"/>
      <c r="H150" s="186"/>
      <c r="I150" s="176"/>
      <c r="J150" s="186"/>
      <c r="K150" s="176"/>
      <c r="L150" s="186"/>
      <c r="M150" s="176"/>
      <c r="N150" s="186"/>
      <c r="O150" s="176"/>
      <c r="P150" s="186"/>
      <c r="Q150" s="168"/>
      <c r="R150" s="186"/>
      <c r="S150" s="176"/>
      <c r="T150" s="186"/>
      <c r="U150" s="176"/>
      <c r="V150" s="186"/>
      <c r="W150" s="176"/>
      <c r="X150" s="186"/>
      <c r="Y150" s="176"/>
      <c r="Z150" s="186"/>
      <c r="AA150" s="176"/>
      <c r="AB150" s="186"/>
      <c r="AC150" s="185">
        <f t="shared" si="2"/>
        <v>0</v>
      </c>
    </row>
    <row r="151" spans="1:29" ht="24" x14ac:dyDescent="0.25">
      <c r="A151" s="235">
        <v>15</v>
      </c>
      <c r="B151" s="235"/>
      <c r="C151" s="235"/>
      <c r="D151" s="236" t="s">
        <v>139</v>
      </c>
      <c r="G151" s="176"/>
      <c r="H151" s="186"/>
      <c r="I151" s="176"/>
      <c r="J151" s="186"/>
      <c r="K151" s="176"/>
      <c r="L151" s="186"/>
      <c r="M151" s="176"/>
      <c r="N151" s="186"/>
      <c r="O151" s="176"/>
      <c r="P151" s="186"/>
      <c r="Q151" s="168"/>
      <c r="R151" s="186"/>
      <c r="S151" s="176"/>
      <c r="T151" s="186"/>
      <c r="U151" s="176"/>
      <c r="V151" s="186"/>
      <c r="W151" s="176"/>
      <c r="X151" s="186"/>
      <c r="Y151" s="176"/>
      <c r="Z151" s="186"/>
      <c r="AA151" s="176"/>
      <c r="AB151" s="186"/>
      <c r="AC151" s="185">
        <f t="shared" si="2"/>
        <v>0</v>
      </c>
    </row>
    <row r="152" spans="1:29" ht="24" x14ac:dyDescent="0.25">
      <c r="A152" s="235">
        <v>16</v>
      </c>
      <c r="B152" s="235"/>
      <c r="C152" s="235"/>
      <c r="D152" s="236" t="s">
        <v>140</v>
      </c>
      <c r="G152" s="176"/>
      <c r="H152" s="186"/>
      <c r="I152" s="176"/>
      <c r="J152" s="186"/>
      <c r="K152" s="176"/>
      <c r="L152" s="186"/>
      <c r="M152" s="176"/>
      <c r="N152" s="186"/>
      <c r="O152" s="176"/>
      <c r="P152" s="186"/>
      <c r="Q152" s="168"/>
      <c r="R152" s="186"/>
      <c r="S152" s="176"/>
      <c r="T152" s="186"/>
      <c r="U152" s="176"/>
      <c r="V152" s="186"/>
      <c r="W152" s="176"/>
      <c r="X152" s="186"/>
      <c r="Y152" s="176"/>
      <c r="Z152" s="186"/>
      <c r="AA152" s="176"/>
      <c r="AB152" s="186"/>
      <c r="AC152" s="185">
        <f t="shared" si="2"/>
        <v>0</v>
      </c>
    </row>
    <row r="153" spans="1:29" ht="24" x14ac:dyDescent="0.25">
      <c r="A153" s="235">
        <v>17</v>
      </c>
      <c r="B153" s="235"/>
      <c r="C153" s="235"/>
      <c r="D153" s="236" t="s">
        <v>141</v>
      </c>
      <c r="G153" s="176"/>
      <c r="H153" s="186"/>
      <c r="I153" s="176"/>
      <c r="J153" s="186"/>
      <c r="K153" s="176"/>
      <c r="L153" s="186"/>
      <c r="M153" s="176"/>
      <c r="N153" s="186"/>
      <c r="O153" s="176"/>
      <c r="P153" s="186"/>
      <c r="Q153" s="168"/>
      <c r="R153" s="186"/>
      <c r="S153" s="176"/>
      <c r="T153" s="186"/>
      <c r="U153" s="176"/>
      <c r="V153" s="186"/>
      <c r="W153" s="176"/>
      <c r="X153" s="186"/>
      <c r="Y153" s="176"/>
      <c r="Z153" s="186"/>
      <c r="AA153" s="176"/>
      <c r="AB153" s="186"/>
      <c r="AC153" s="185">
        <f t="shared" si="2"/>
        <v>0</v>
      </c>
    </row>
    <row r="154" spans="1:29" ht="24" x14ac:dyDescent="0.25">
      <c r="A154" s="235">
        <v>18</v>
      </c>
      <c r="B154" s="235"/>
      <c r="C154" s="235"/>
      <c r="D154" s="236" t="s">
        <v>142</v>
      </c>
      <c r="G154" s="176"/>
      <c r="H154" s="186"/>
      <c r="I154" s="176"/>
      <c r="J154" s="186"/>
      <c r="K154" s="176"/>
      <c r="L154" s="186"/>
      <c r="M154" s="176"/>
      <c r="N154" s="186"/>
      <c r="O154" s="176"/>
      <c r="P154" s="186"/>
      <c r="Q154" s="168"/>
      <c r="R154" s="186"/>
      <c r="S154" s="176"/>
      <c r="T154" s="186"/>
      <c r="U154" s="176"/>
      <c r="V154" s="186"/>
      <c r="W154" s="176"/>
      <c r="X154" s="186"/>
      <c r="Y154" s="176"/>
      <c r="Z154" s="186"/>
      <c r="AA154" s="176"/>
      <c r="AB154" s="186"/>
      <c r="AC154" s="185">
        <f t="shared" si="2"/>
        <v>0</v>
      </c>
    </row>
    <row r="155" spans="1:29" ht="24" x14ac:dyDescent="0.25">
      <c r="A155" s="235">
        <v>19</v>
      </c>
      <c r="B155" s="235"/>
      <c r="C155" s="235"/>
      <c r="D155" s="236" t="s">
        <v>143</v>
      </c>
      <c r="G155" s="176"/>
      <c r="H155" s="186"/>
      <c r="I155" s="176"/>
      <c r="J155" s="186"/>
      <c r="K155" s="176"/>
      <c r="L155" s="186"/>
      <c r="M155" s="176"/>
      <c r="N155" s="186"/>
      <c r="O155" s="176"/>
      <c r="P155" s="186"/>
      <c r="Q155" s="168"/>
      <c r="R155" s="186"/>
      <c r="S155" s="176"/>
      <c r="T155" s="186"/>
      <c r="U155" s="176"/>
      <c r="V155" s="186"/>
      <c r="W155" s="176"/>
      <c r="X155" s="186"/>
      <c r="Y155" s="176"/>
      <c r="Z155" s="186"/>
      <c r="AA155" s="176"/>
      <c r="AB155" s="186"/>
      <c r="AC155" s="185">
        <f t="shared" si="2"/>
        <v>0</v>
      </c>
    </row>
    <row r="156" spans="1:29" ht="24" x14ac:dyDescent="0.25">
      <c r="A156" s="235">
        <v>20</v>
      </c>
      <c r="B156" s="235"/>
      <c r="C156" s="235"/>
      <c r="D156" s="236" t="s">
        <v>144</v>
      </c>
      <c r="G156" s="176"/>
      <c r="H156" s="186"/>
      <c r="I156" s="176"/>
      <c r="J156" s="186"/>
      <c r="K156" s="176"/>
      <c r="L156" s="186"/>
      <c r="M156" s="176"/>
      <c r="N156" s="186"/>
      <c r="O156" s="176"/>
      <c r="P156" s="186"/>
      <c r="Q156" s="168"/>
      <c r="R156" s="186"/>
      <c r="S156" s="176"/>
      <c r="T156" s="186"/>
      <c r="U156" s="176"/>
      <c r="V156" s="186"/>
      <c r="W156" s="176"/>
      <c r="X156" s="186"/>
      <c r="Y156" s="176"/>
      <c r="Z156" s="186"/>
      <c r="AA156" s="176"/>
      <c r="AB156" s="186"/>
      <c r="AC156" s="185">
        <f t="shared" si="2"/>
        <v>0</v>
      </c>
    </row>
    <row r="157" spans="1:29" ht="24" x14ac:dyDescent="0.25">
      <c r="A157" s="235">
        <v>21</v>
      </c>
      <c r="B157" s="235"/>
      <c r="C157" s="235"/>
      <c r="D157" s="236" t="s">
        <v>145</v>
      </c>
      <c r="G157" s="176"/>
      <c r="H157" s="186"/>
      <c r="I157" s="176"/>
      <c r="J157" s="186"/>
      <c r="K157" s="176"/>
      <c r="L157" s="186"/>
      <c r="M157" s="176"/>
      <c r="N157" s="186"/>
      <c r="O157" s="176"/>
      <c r="P157" s="186"/>
      <c r="Q157" s="168"/>
      <c r="R157" s="186"/>
      <c r="S157" s="176"/>
      <c r="T157" s="186"/>
      <c r="U157" s="176"/>
      <c r="V157" s="186"/>
      <c r="W157" s="176"/>
      <c r="X157" s="186"/>
      <c r="Y157" s="176"/>
      <c r="Z157" s="186"/>
      <c r="AA157" s="176"/>
      <c r="AB157" s="186"/>
      <c r="AC157" s="185">
        <f t="shared" si="2"/>
        <v>0</v>
      </c>
    </row>
    <row r="158" spans="1:29" ht="24" x14ac:dyDescent="0.25">
      <c r="A158" s="235">
        <v>22</v>
      </c>
      <c r="B158" s="235"/>
      <c r="C158" s="235"/>
      <c r="D158" s="236" t="s">
        <v>146</v>
      </c>
      <c r="G158" s="176"/>
      <c r="H158" s="186"/>
      <c r="I158" s="176"/>
      <c r="J158" s="286"/>
      <c r="K158" s="176"/>
      <c r="L158" s="186"/>
      <c r="M158" s="176"/>
      <c r="N158" s="186"/>
      <c r="O158" s="176"/>
      <c r="P158" s="186"/>
      <c r="Q158" s="168"/>
      <c r="R158" s="186"/>
      <c r="S158" s="176"/>
      <c r="T158" s="186"/>
      <c r="U158" s="176"/>
      <c r="V158" s="186"/>
      <c r="W158" s="176"/>
      <c r="X158" s="186"/>
      <c r="Y158" s="176"/>
      <c r="Z158" s="186"/>
      <c r="AA158" s="176"/>
      <c r="AB158" s="186"/>
      <c r="AC158" s="185">
        <f t="shared" si="2"/>
        <v>0</v>
      </c>
    </row>
    <row r="159" spans="1:29" ht="24" x14ac:dyDescent="0.25">
      <c r="A159" s="235">
        <v>23</v>
      </c>
      <c r="B159" s="235"/>
      <c r="C159" s="235"/>
      <c r="D159" s="236" t="s">
        <v>147</v>
      </c>
      <c r="G159" s="176"/>
      <c r="H159" s="186"/>
      <c r="I159" s="176"/>
      <c r="J159" s="286"/>
      <c r="K159" s="176"/>
      <c r="L159" s="186"/>
      <c r="M159" s="176"/>
      <c r="N159" s="186"/>
      <c r="O159" s="176"/>
      <c r="P159" s="186"/>
      <c r="Q159" s="168"/>
      <c r="R159" s="186"/>
      <c r="S159" s="176"/>
      <c r="T159" s="186"/>
      <c r="U159" s="176"/>
      <c r="V159" s="186"/>
      <c r="W159" s="176"/>
      <c r="X159" s="186"/>
      <c r="Y159" s="176"/>
      <c r="Z159" s="186"/>
      <c r="AA159" s="176"/>
      <c r="AB159" s="186"/>
      <c r="AC159" s="185">
        <f t="shared" si="2"/>
        <v>0</v>
      </c>
    </row>
    <row r="160" spans="1:29" ht="24" x14ac:dyDescent="0.25">
      <c r="A160" s="235">
        <v>24</v>
      </c>
      <c r="B160" s="235"/>
      <c r="C160" s="235"/>
      <c r="D160" s="236" t="s">
        <v>148</v>
      </c>
      <c r="G160" s="176"/>
      <c r="H160" s="186"/>
      <c r="I160" s="176"/>
      <c r="J160" s="286"/>
      <c r="K160" s="176"/>
      <c r="L160" s="186"/>
      <c r="M160" s="176"/>
      <c r="N160" s="186"/>
      <c r="O160" s="176"/>
      <c r="P160" s="186"/>
      <c r="Q160" s="168"/>
      <c r="R160" s="186"/>
      <c r="S160" s="176"/>
      <c r="T160" s="186"/>
      <c r="U160" s="176"/>
      <c r="V160" s="186"/>
      <c r="W160" s="176"/>
      <c r="X160" s="186"/>
      <c r="Y160" s="176"/>
      <c r="Z160" s="186"/>
      <c r="AA160" s="176"/>
      <c r="AB160" s="186"/>
      <c r="AC160" s="185">
        <f t="shared" si="2"/>
        <v>0</v>
      </c>
    </row>
    <row r="161" spans="1:29" ht="24" x14ac:dyDescent="0.25">
      <c r="A161" s="235">
        <v>25</v>
      </c>
      <c r="B161" s="235"/>
      <c r="C161" s="235"/>
      <c r="D161" s="236" t="s">
        <v>149</v>
      </c>
      <c r="G161" s="176"/>
      <c r="H161" s="186"/>
      <c r="I161" s="176"/>
      <c r="J161" s="286"/>
      <c r="K161" s="176"/>
      <c r="L161" s="186"/>
      <c r="M161" s="176"/>
      <c r="N161" s="186"/>
      <c r="O161" s="176"/>
      <c r="P161" s="186"/>
      <c r="Q161" s="168"/>
      <c r="R161" s="186"/>
      <c r="S161" s="176"/>
      <c r="T161" s="186"/>
      <c r="U161" s="176"/>
      <c r="V161" s="186"/>
      <c r="W161" s="176"/>
      <c r="X161" s="186"/>
      <c r="Y161" s="176"/>
      <c r="Z161" s="186"/>
      <c r="AA161" s="176"/>
      <c r="AB161" s="186"/>
      <c r="AC161" s="185">
        <f t="shared" si="2"/>
        <v>0</v>
      </c>
    </row>
    <row r="162" spans="1:29" ht="24" x14ac:dyDescent="0.25">
      <c r="A162" s="235">
        <v>26</v>
      </c>
      <c r="B162" s="235"/>
      <c r="C162" s="235"/>
      <c r="D162" s="236" t="s">
        <v>150</v>
      </c>
      <c r="G162" s="176"/>
      <c r="H162" s="186"/>
      <c r="I162" s="176"/>
      <c r="J162" s="186"/>
      <c r="K162" s="176"/>
      <c r="L162" s="186"/>
      <c r="M162" s="176"/>
      <c r="N162" s="186"/>
      <c r="O162" s="176"/>
      <c r="P162" s="186"/>
      <c r="Q162" s="168"/>
      <c r="R162" s="186"/>
      <c r="S162" s="176"/>
      <c r="T162" s="186"/>
      <c r="U162" s="176"/>
      <c r="V162" s="186"/>
      <c r="W162" s="176"/>
      <c r="X162" s="186"/>
      <c r="Y162" s="176"/>
      <c r="Z162" s="186"/>
      <c r="AA162" s="176"/>
      <c r="AB162" s="186"/>
      <c r="AC162" s="185">
        <f t="shared" si="2"/>
        <v>0</v>
      </c>
    </row>
    <row r="163" spans="1:29" ht="24" x14ac:dyDescent="0.25">
      <c r="A163" s="235">
        <v>27</v>
      </c>
      <c r="B163" s="235"/>
      <c r="C163" s="235"/>
      <c r="D163" s="236" t="s">
        <v>151</v>
      </c>
      <c r="G163" s="176"/>
      <c r="H163" s="186"/>
      <c r="I163" s="176"/>
      <c r="J163" s="286"/>
      <c r="K163" s="176"/>
      <c r="L163" s="186"/>
      <c r="M163" s="176"/>
      <c r="N163" s="186"/>
      <c r="O163" s="176"/>
      <c r="P163" s="186"/>
      <c r="Q163" s="168"/>
      <c r="R163" s="186"/>
      <c r="S163" s="176"/>
      <c r="T163" s="186"/>
      <c r="U163" s="176"/>
      <c r="V163" s="186"/>
      <c r="W163" s="176"/>
      <c r="X163" s="186"/>
      <c r="Y163" s="176"/>
      <c r="Z163" s="186"/>
      <c r="AA163" s="176"/>
      <c r="AB163" s="186"/>
      <c r="AC163" s="185">
        <f t="shared" si="2"/>
        <v>0</v>
      </c>
    </row>
    <row r="164" spans="1:29" ht="24" x14ac:dyDescent="0.25">
      <c r="A164" s="235">
        <v>28</v>
      </c>
      <c r="B164" s="235"/>
      <c r="C164" s="235"/>
      <c r="D164" s="236" t="s">
        <v>152</v>
      </c>
      <c r="G164" s="176"/>
      <c r="H164" s="186"/>
      <c r="I164" s="176"/>
      <c r="J164" s="186"/>
      <c r="K164" s="176"/>
      <c r="L164" s="186"/>
      <c r="M164" s="176"/>
      <c r="N164" s="186"/>
      <c r="O164" s="176"/>
      <c r="P164" s="186"/>
      <c r="Q164" s="168"/>
      <c r="R164" s="186"/>
      <c r="S164" s="176"/>
      <c r="T164" s="186"/>
      <c r="U164" s="176"/>
      <c r="V164" s="186"/>
      <c r="W164" s="176"/>
      <c r="X164" s="186"/>
      <c r="Y164" s="176"/>
      <c r="Z164" s="186"/>
      <c r="AA164" s="176"/>
      <c r="AB164" s="186"/>
      <c r="AC164" s="185">
        <f t="shared" si="2"/>
        <v>0</v>
      </c>
    </row>
    <row r="165" spans="1:29" ht="24" x14ac:dyDescent="0.25">
      <c r="A165" s="235">
        <v>29</v>
      </c>
      <c r="B165" s="235"/>
      <c r="C165" s="235"/>
      <c r="D165" s="236" t="s">
        <v>153</v>
      </c>
      <c r="G165" s="176"/>
      <c r="H165" s="186"/>
      <c r="I165" s="176"/>
      <c r="J165" s="186"/>
      <c r="K165" s="176"/>
      <c r="L165" s="186"/>
      <c r="M165" s="176"/>
      <c r="N165" s="186"/>
      <c r="O165" s="176"/>
      <c r="P165" s="186"/>
      <c r="Q165" s="168"/>
      <c r="R165" s="186"/>
      <c r="S165" s="176"/>
      <c r="T165" s="186"/>
      <c r="U165" s="176"/>
      <c r="V165" s="186"/>
      <c r="W165" s="176"/>
      <c r="X165" s="186"/>
      <c r="Y165" s="176"/>
      <c r="Z165" s="186"/>
      <c r="AA165" s="176"/>
      <c r="AB165" s="186"/>
      <c r="AC165" s="185">
        <f t="shared" si="2"/>
        <v>0</v>
      </c>
    </row>
    <row r="166" spans="1:29" ht="24" x14ac:dyDescent="0.25">
      <c r="A166" s="235">
        <v>30</v>
      </c>
      <c r="B166" s="235"/>
      <c r="C166" s="235"/>
      <c r="D166" s="236" t="s">
        <v>154</v>
      </c>
      <c r="G166" s="176"/>
      <c r="H166" s="186"/>
      <c r="I166" s="176"/>
      <c r="J166" s="186"/>
      <c r="K166" s="176"/>
      <c r="L166" s="186"/>
      <c r="M166" s="176"/>
      <c r="N166" s="186"/>
      <c r="O166" s="176"/>
      <c r="P166" s="186"/>
      <c r="Q166" s="168"/>
      <c r="R166" s="186"/>
      <c r="S166" s="176"/>
      <c r="T166" s="186"/>
      <c r="U166" s="176"/>
      <c r="V166" s="186"/>
      <c r="W166" s="176"/>
      <c r="X166" s="186"/>
      <c r="Y166" s="176"/>
      <c r="Z166" s="186"/>
      <c r="AA166" s="176"/>
      <c r="AB166" s="186"/>
      <c r="AC166" s="185">
        <f t="shared" si="2"/>
        <v>0</v>
      </c>
    </row>
    <row r="167" spans="1:29" ht="24" x14ac:dyDescent="0.25">
      <c r="A167" s="235">
        <v>31</v>
      </c>
      <c r="B167" s="235"/>
      <c r="C167" s="235"/>
      <c r="D167" s="236" t="s">
        <v>155</v>
      </c>
      <c r="G167" s="176"/>
      <c r="H167" s="186"/>
      <c r="I167" s="176"/>
      <c r="J167" s="186"/>
      <c r="K167" s="176"/>
      <c r="L167" s="186"/>
      <c r="M167" s="176"/>
      <c r="N167" s="186"/>
      <c r="O167" s="176"/>
      <c r="P167" s="186"/>
      <c r="Q167" s="168"/>
      <c r="R167" s="186"/>
      <c r="S167" s="176"/>
      <c r="T167" s="186"/>
      <c r="U167" s="176"/>
      <c r="V167" s="186"/>
      <c r="W167" s="176"/>
      <c r="X167" s="186"/>
      <c r="Y167" s="176"/>
      <c r="Z167" s="186"/>
      <c r="AA167" s="176"/>
      <c r="AB167" s="186"/>
      <c r="AC167" s="185">
        <f t="shared" si="2"/>
        <v>0</v>
      </c>
    </row>
    <row r="168" spans="1:29" ht="24" x14ac:dyDescent="0.25">
      <c r="A168" s="235">
        <v>32</v>
      </c>
      <c r="B168" s="235"/>
      <c r="C168" s="235"/>
      <c r="D168" s="236" t="s">
        <v>156</v>
      </c>
      <c r="G168" s="176"/>
      <c r="H168" s="186"/>
      <c r="I168" s="176"/>
      <c r="J168" s="186"/>
      <c r="K168" s="176"/>
      <c r="L168" s="186"/>
      <c r="M168" s="176"/>
      <c r="N168" s="186"/>
      <c r="O168" s="176"/>
      <c r="P168" s="186"/>
      <c r="Q168" s="168"/>
      <c r="R168" s="186"/>
      <c r="S168" s="176"/>
      <c r="T168" s="186"/>
      <c r="U168" s="176"/>
      <c r="V168" s="186"/>
      <c r="W168" s="176"/>
      <c r="X168" s="186"/>
      <c r="Y168" s="176"/>
      <c r="Z168" s="186"/>
      <c r="AA168" s="176"/>
      <c r="AB168" s="186"/>
      <c r="AC168" s="185">
        <f t="shared" si="2"/>
        <v>0</v>
      </c>
    </row>
    <row r="169" spans="1:29" ht="24" x14ac:dyDescent="0.25">
      <c r="A169" s="235">
        <v>33</v>
      </c>
      <c r="B169" s="235"/>
      <c r="C169" s="235"/>
      <c r="D169" s="236" t="s">
        <v>157</v>
      </c>
      <c r="G169" s="176"/>
      <c r="H169" s="186"/>
      <c r="I169" s="176"/>
      <c r="J169" s="186"/>
      <c r="K169" s="176"/>
      <c r="L169" s="186"/>
      <c r="M169" s="176"/>
      <c r="N169" s="186"/>
      <c r="O169" s="176"/>
      <c r="P169" s="186"/>
      <c r="Q169" s="168"/>
      <c r="R169" s="186"/>
      <c r="S169" s="176"/>
      <c r="T169" s="186"/>
      <c r="U169" s="176"/>
      <c r="V169" s="186"/>
      <c r="W169" s="176"/>
      <c r="X169" s="186"/>
      <c r="Y169" s="176"/>
      <c r="Z169" s="186"/>
      <c r="AA169" s="176"/>
      <c r="AB169" s="186"/>
      <c r="AC169" s="185">
        <f t="shared" si="2"/>
        <v>0</v>
      </c>
    </row>
    <row r="170" spans="1:29" ht="24" x14ac:dyDescent="0.25">
      <c r="A170" s="235">
        <v>34</v>
      </c>
      <c r="B170" s="235"/>
      <c r="C170" s="235"/>
      <c r="D170" s="236" t="s">
        <v>303</v>
      </c>
      <c r="G170" s="176"/>
      <c r="H170" s="186"/>
      <c r="I170" s="176"/>
      <c r="J170" s="186"/>
      <c r="K170" s="176"/>
      <c r="L170" s="186"/>
      <c r="M170" s="176"/>
      <c r="N170" s="186"/>
      <c r="O170" s="176"/>
      <c r="P170" s="186"/>
      <c r="Q170" s="168"/>
      <c r="R170" s="186"/>
      <c r="S170" s="176"/>
      <c r="T170" s="186"/>
      <c r="U170" s="176"/>
      <c r="V170" s="186"/>
      <c r="W170" s="176"/>
      <c r="X170" s="186"/>
      <c r="Y170" s="176"/>
      <c r="Z170" s="186"/>
      <c r="AA170" s="176"/>
      <c r="AB170" s="186"/>
      <c r="AC170" s="185">
        <f t="shared" si="2"/>
        <v>0</v>
      </c>
    </row>
    <row r="171" spans="1:29" ht="24" x14ac:dyDescent="0.25">
      <c r="A171" s="235">
        <v>35</v>
      </c>
      <c r="B171" s="235"/>
      <c r="C171" s="235"/>
      <c r="D171" s="236" t="s">
        <v>304</v>
      </c>
      <c r="G171" s="176"/>
      <c r="H171" s="186"/>
      <c r="I171" s="176"/>
      <c r="J171" s="186"/>
      <c r="K171" s="176"/>
      <c r="L171" s="186"/>
      <c r="M171" s="176"/>
      <c r="N171" s="186"/>
      <c r="O171" s="176"/>
      <c r="P171" s="186"/>
      <c r="Q171" s="168"/>
      <c r="R171" s="186"/>
      <c r="S171" s="176"/>
      <c r="T171" s="186"/>
      <c r="U171" s="176"/>
      <c r="V171" s="186"/>
      <c r="W171" s="176"/>
      <c r="X171" s="186"/>
      <c r="Y171" s="176"/>
      <c r="Z171" s="186"/>
      <c r="AA171" s="176"/>
      <c r="AB171" s="186"/>
      <c r="AC171" s="185">
        <f t="shared" si="2"/>
        <v>0</v>
      </c>
    </row>
    <row r="172" spans="1:29" ht="24" x14ac:dyDescent="0.25">
      <c r="A172" s="235">
        <v>36</v>
      </c>
      <c r="B172" s="235"/>
      <c r="C172" s="235"/>
      <c r="D172" s="236" t="s">
        <v>305</v>
      </c>
      <c r="G172" s="176"/>
      <c r="H172" s="186"/>
      <c r="I172" s="176"/>
      <c r="J172" s="186"/>
      <c r="K172" s="176"/>
      <c r="L172" s="186"/>
      <c r="M172" s="176"/>
      <c r="N172" s="186"/>
      <c r="O172" s="176"/>
      <c r="P172" s="186"/>
      <c r="Q172" s="168"/>
      <c r="R172" s="186"/>
      <c r="S172" s="176"/>
      <c r="T172" s="186"/>
      <c r="U172" s="176"/>
      <c r="V172" s="186"/>
      <c r="W172" s="176"/>
      <c r="X172" s="186"/>
      <c r="Y172" s="176"/>
      <c r="Z172" s="186"/>
      <c r="AA172" s="176"/>
      <c r="AB172" s="186"/>
      <c r="AC172" s="185">
        <f t="shared" si="2"/>
        <v>0</v>
      </c>
    </row>
    <row r="173" spans="1:29" ht="24" x14ac:dyDescent="0.25">
      <c r="A173" s="235">
        <v>37</v>
      </c>
      <c r="B173" s="235"/>
      <c r="C173" s="235"/>
      <c r="D173" s="236" t="s">
        <v>306</v>
      </c>
      <c r="G173" s="176"/>
      <c r="H173" s="186"/>
      <c r="I173" s="176"/>
      <c r="J173" s="186"/>
      <c r="K173" s="176"/>
      <c r="L173" s="186"/>
      <c r="M173" s="176"/>
      <c r="N173" s="186"/>
      <c r="O173" s="176"/>
      <c r="P173" s="186"/>
      <c r="Q173" s="168"/>
      <c r="R173" s="186"/>
      <c r="S173" s="176"/>
      <c r="T173" s="186"/>
      <c r="U173" s="176"/>
      <c r="V173" s="186"/>
      <c r="W173" s="176"/>
      <c r="X173" s="186"/>
      <c r="Y173" s="176"/>
      <c r="Z173" s="186"/>
      <c r="AA173" s="176"/>
      <c r="AB173" s="186"/>
      <c r="AC173" s="185">
        <f t="shared" si="2"/>
        <v>0</v>
      </c>
    </row>
    <row r="174" spans="1:29" ht="24" x14ac:dyDescent="0.25">
      <c r="A174" s="235">
        <v>38</v>
      </c>
      <c r="B174" s="235"/>
      <c r="C174" s="235"/>
      <c r="D174" s="236" t="s">
        <v>307</v>
      </c>
      <c r="G174" s="176"/>
      <c r="H174" s="186"/>
      <c r="I174" s="176"/>
      <c r="J174" s="186"/>
      <c r="K174" s="176"/>
      <c r="L174" s="186"/>
      <c r="M174" s="176"/>
      <c r="N174" s="186"/>
      <c r="O174" s="176"/>
      <c r="P174" s="186"/>
      <c r="Q174" s="168"/>
      <c r="R174" s="186"/>
      <c r="S174" s="176"/>
      <c r="T174" s="186"/>
      <c r="U174" s="176"/>
      <c r="V174" s="186"/>
      <c r="W174" s="176"/>
      <c r="X174" s="186"/>
      <c r="Y174" s="176"/>
      <c r="Z174" s="186"/>
      <c r="AA174" s="176"/>
      <c r="AB174" s="186"/>
      <c r="AC174" s="185">
        <f t="shared" si="2"/>
        <v>0</v>
      </c>
    </row>
    <row r="175" spans="1:29" ht="24" x14ac:dyDescent="0.25">
      <c r="A175" s="235">
        <v>39</v>
      </c>
      <c r="B175" s="235"/>
      <c r="C175" s="235"/>
      <c r="D175" s="236" t="s">
        <v>308</v>
      </c>
      <c r="G175" s="176"/>
      <c r="H175" s="186"/>
      <c r="I175" s="176"/>
      <c r="J175" s="186"/>
      <c r="K175" s="176"/>
      <c r="L175" s="186"/>
      <c r="M175" s="176"/>
      <c r="N175" s="186"/>
      <c r="O175" s="176"/>
      <c r="P175" s="186"/>
      <c r="Q175" s="168"/>
      <c r="R175" s="186"/>
      <c r="S175" s="176"/>
      <c r="T175" s="186"/>
      <c r="U175" s="176"/>
      <c r="V175" s="186"/>
      <c r="W175" s="176"/>
      <c r="X175" s="186"/>
      <c r="Y175" s="176"/>
      <c r="Z175" s="186"/>
      <c r="AA175" s="176"/>
      <c r="AB175" s="186"/>
      <c r="AC175" s="185">
        <f t="shared" si="2"/>
        <v>0</v>
      </c>
    </row>
    <row r="176" spans="1:29" ht="24" x14ac:dyDescent="0.25">
      <c r="A176" s="235">
        <v>40</v>
      </c>
      <c r="B176" s="235"/>
      <c r="C176" s="235"/>
      <c r="D176" s="236" t="s">
        <v>309</v>
      </c>
      <c r="G176" s="176"/>
      <c r="H176" s="186"/>
      <c r="I176" s="176"/>
      <c r="J176" s="186"/>
      <c r="K176" s="176"/>
      <c r="L176" s="186"/>
      <c r="M176" s="176"/>
      <c r="N176" s="186"/>
      <c r="O176" s="176"/>
      <c r="P176" s="186"/>
      <c r="Q176" s="168"/>
      <c r="R176" s="186"/>
      <c r="S176" s="176"/>
      <c r="T176" s="186"/>
      <c r="U176" s="176"/>
      <c r="V176" s="186"/>
      <c r="W176" s="176"/>
      <c r="X176" s="186"/>
      <c r="Y176" s="176"/>
      <c r="Z176" s="186"/>
      <c r="AA176" s="176"/>
      <c r="AB176" s="186"/>
      <c r="AC176" s="185">
        <f t="shared" si="2"/>
        <v>0</v>
      </c>
    </row>
    <row r="177" spans="1:29" ht="24" x14ac:dyDescent="0.25">
      <c r="A177" s="235">
        <v>41</v>
      </c>
      <c r="B177" s="235"/>
      <c r="C177" s="235"/>
      <c r="D177" s="236" t="s">
        <v>310</v>
      </c>
      <c r="G177" s="176"/>
      <c r="H177" s="186"/>
      <c r="I177" s="176"/>
      <c r="J177" s="186"/>
      <c r="K177" s="176"/>
      <c r="L177" s="186"/>
      <c r="M177" s="176"/>
      <c r="N177" s="186"/>
      <c r="O177" s="176"/>
      <c r="P177" s="186"/>
      <c r="Q177" s="168"/>
      <c r="R177" s="186"/>
      <c r="S177" s="176"/>
      <c r="T177" s="186"/>
      <c r="U177" s="176"/>
      <c r="V177" s="186"/>
      <c r="W177" s="176"/>
      <c r="X177" s="186"/>
      <c r="Y177" s="176"/>
      <c r="Z177" s="186"/>
      <c r="AA177" s="176"/>
      <c r="AB177" s="186"/>
      <c r="AC177" s="185">
        <f t="shared" si="2"/>
        <v>0</v>
      </c>
    </row>
    <row r="178" spans="1:29" ht="24" x14ac:dyDescent="0.25">
      <c r="A178" s="235">
        <v>42</v>
      </c>
      <c r="B178" s="235"/>
      <c r="C178" s="235"/>
      <c r="D178" s="236" t="s">
        <v>311</v>
      </c>
      <c r="G178" s="176"/>
      <c r="H178" s="186"/>
      <c r="I178" s="176"/>
      <c r="J178" s="186"/>
      <c r="K178" s="176"/>
      <c r="L178" s="186"/>
      <c r="M178" s="176"/>
      <c r="N178" s="186"/>
      <c r="O178" s="176"/>
      <c r="P178" s="186"/>
      <c r="Q178" s="168"/>
      <c r="R178" s="186"/>
      <c r="S178" s="176"/>
      <c r="T178" s="186"/>
      <c r="U178" s="176"/>
      <c r="V178" s="186"/>
      <c r="W178" s="176"/>
      <c r="X178" s="186"/>
      <c r="Y178" s="176"/>
      <c r="Z178" s="186"/>
      <c r="AA178" s="176"/>
      <c r="AB178" s="186"/>
      <c r="AC178" s="185">
        <f t="shared" si="2"/>
        <v>0</v>
      </c>
    </row>
    <row r="179" spans="1:29" ht="24" x14ac:dyDescent="0.25">
      <c r="A179" s="237">
        <v>34</v>
      </c>
      <c r="B179" s="237"/>
      <c r="C179" s="237"/>
      <c r="D179" s="238" t="s">
        <v>158</v>
      </c>
      <c r="G179" s="176"/>
      <c r="H179" s="186"/>
      <c r="I179" s="176"/>
      <c r="J179" s="186"/>
      <c r="K179" s="176"/>
      <c r="L179" s="186"/>
      <c r="M179" s="176"/>
      <c r="N179" s="186"/>
      <c r="O179" s="176"/>
      <c r="P179" s="186"/>
      <c r="Q179" s="168"/>
      <c r="R179" s="186"/>
      <c r="S179" s="176"/>
      <c r="T179" s="186"/>
      <c r="U179" s="176"/>
      <c r="V179" s="186"/>
      <c r="W179" s="176"/>
      <c r="X179" s="186"/>
      <c r="Y179" s="176"/>
      <c r="Z179" s="186"/>
      <c r="AA179" s="176"/>
      <c r="AB179" s="186"/>
      <c r="AC179" s="185">
        <f t="shared" si="2"/>
        <v>0</v>
      </c>
    </row>
    <row r="180" spans="1:29" ht="24" x14ac:dyDescent="0.25">
      <c r="A180" s="237">
        <v>35</v>
      </c>
      <c r="B180" s="237"/>
      <c r="C180" s="237"/>
      <c r="D180" s="238" t="s">
        <v>159</v>
      </c>
      <c r="G180" s="176"/>
      <c r="H180" s="186"/>
      <c r="I180" s="176"/>
      <c r="J180" s="186"/>
      <c r="K180" s="176"/>
      <c r="L180" s="186"/>
      <c r="M180" s="176"/>
      <c r="N180" s="186"/>
      <c r="O180" s="176"/>
      <c r="P180" s="186"/>
      <c r="Q180" s="168"/>
      <c r="R180" s="186"/>
      <c r="S180" s="176"/>
      <c r="T180" s="186"/>
      <c r="U180" s="176"/>
      <c r="V180" s="186"/>
      <c r="W180" s="176"/>
      <c r="X180" s="186"/>
      <c r="Y180" s="176"/>
      <c r="Z180" s="186"/>
      <c r="AA180" s="176"/>
      <c r="AB180" s="186"/>
      <c r="AC180" s="185">
        <f t="shared" si="2"/>
        <v>0</v>
      </c>
    </row>
    <row r="181" spans="1:29" ht="24" x14ac:dyDescent="0.25">
      <c r="A181" s="237">
        <v>36</v>
      </c>
      <c r="B181" s="237"/>
      <c r="C181" s="237"/>
      <c r="D181" s="238" t="s">
        <v>160</v>
      </c>
      <c r="G181" s="176"/>
      <c r="H181" s="186"/>
      <c r="I181" s="176"/>
      <c r="J181" s="186"/>
      <c r="K181" s="176"/>
      <c r="L181" s="186"/>
      <c r="M181" s="176"/>
      <c r="N181" s="186"/>
      <c r="O181" s="176"/>
      <c r="P181" s="186"/>
      <c r="Q181" s="168"/>
      <c r="R181" s="186"/>
      <c r="S181" s="176"/>
      <c r="T181" s="186"/>
      <c r="U181" s="176"/>
      <c r="V181" s="186"/>
      <c r="W181" s="176"/>
      <c r="X181" s="186"/>
      <c r="Y181" s="176"/>
      <c r="Z181" s="186"/>
      <c r="AA181" s="176"/>
      <c r="AB181" s="186"/>
      <c r="AC181" s="185">
        <f t="shared" si="2"/>
        <v>0</v>
      </c>
    </row>
    <row r="182" spans="1:29" ht="24" x14ac:dyDescent="0.25">
      <c r="A182" s="237">
        <v>37</v>
      </c>
      <c r="B182" s="237"/>
      <c r="C182" s="237"/>
      <c r="D182" s="238" t="s">
        <v>161</v>
      </c>
      <c r="G182" s="176"/>
      <c r="H182" s="186"/>
      <c r="I182" s="176"/>
      <c r="J182" s="186"/>
      <c r="K182" s="176"/>
      <c r="L182" s="186"/>
      <c r="M182" s="176"/>
      <c r="N182" s="186"/>
      <c r="O182" s="176"/>
      <c r="P182" s="186"/>
      <c r="Q182" s="168"/>
      <c r="R182" s="186"/>
      <c r="S182" s="176"/>
      <c r="T182" s="186"/>
      <c r="U182" s="176"/>
      <c r="V182" s="186"/>
      <c r="W182" s="176"/>
      <c r="X182" s="186"/>
      <c r="Y182" s="176"/>
      <c r="Z182" s="186"/>
      <c r="AA182" s="176"/>
      <c r="AB182" s="186"/>
      <c r="AC182" s="185">
        <f t="shared" si="2"/>
        <v>0</v>
      </c>
    </row>
    <row r="183" spans="1:29" ht="24" x14ac:dyDescent="0.25">
      <c r="A183" s="237">
        <v>38</v>
      </c>
      <c r="B183" s="237"/>
      <c r="C183" s="237"/>
      <c r="D183" s="238" t="s">
        <v>162</v>
      </c>
      <c r="G183" s="176"/>
      <c r="H183" s="186"/>
      <c r="I183" s="176"/>
      <c r="J183" s="186"/>
      <c r="K183" s="176"/>
      <c r="L183" s="186"/>
      <c r="M183" s="176"/>
      <c r="N183" s="186"/>
      <c r="O183" s="176"/>
      <c r="P183" s="186"/>
      <c r="Q183" s="168"/>
      <c r="R183" s="186"/>
      <c r="S183" s="176"/>
      <c r="T183" s="186"/>
      <c r="U183" s="176"/>
      <c r="V183" s="186"/>
      <c r="W183" s="176"/>
      <c r="X183" s="186"/>
      <c r="Y183" s="176"/>
      <c r="Z183" s="186"/>
      <c r="AA183" s="176"/>
      <c r="AB183" s="186"/>
      <c r="AC183" s="185">
        <f t="shared" si="2"/>
        <v>0</v>
      </c>
    </row>
    <row r="184" spans="1:29" ht="24" x14ac:dyDescent="0.25">
      <c r="A184" s="237">
        <v>39</v>
      </c>
      <c r="B184" s="237"/>
      <c r="C184" s="237"/>
      <c r="D184" s="238" t="s">
        <v>163</v>
      </c>
      <c r="G184" s="176"/>
      <c r="H184" s="186"/>
      <c r="I184" s="176"/>
      <c r="J184" s="186"/>
      <c r="K184" s="176"/>
      <c r="L184" s="186"/>
      <c r="M184" s="176"/>
      <c r="N184" s="186"/>
      <c r="O184" s="176"/>
      <c r="P184" s="186"/>
      <c r="Q184" s="168"/>
      <c r="R184" s="186"/>
      <c r="S184" s="176"/>
      <c r="T184" s="186"/>
      <c r="U184" s="176"/>
      <c r="V184" s="186"/>
      <c r="W184" s="176"/>
      <c r="X184" s="186"/>
      <c r="Y184" s="176"/>
      <c r="Z184" s="186"/>
      <c r="AA184" s="176"/>
      <c r="AB184" s="186"/>
      <c r="AC184" s="185">
        <f t="shared" si="2"/>
        <v>0</v>
      </c>
    </row>
    <row r="185" spans="1:29" ht="24" x14ac:dyDescent="0.25">
      <c r="A185" s="237">
        <v>40</v>
      </c>
      <c r="B185" s="237"/>
      <c r="C185" s="237"/>
      <c r="D185" s="238" t="s">
        <v>164</v>
      </c>
      <c r="G185" s="176"/>
      <c r="H185" s="186"/>
      <c r="I185" s="176"/>
      <c r="J185" s="186"/>
      <c r="K185" s="176"/>
      <c r="L185" s="186"/>
      <c r="M185" s="176"/>
      <c r="N185" s="186"/>
      <c r="O185" s="176"/>
      <c r="P185" s="186"/>
      <c r="Q185" s="168"/>
      <c r="R185" s="186"/>
      <c r="S185" s="176"/>
      <c r="T185" s="186"/>
      <c r="U185" s="176"/>
      <c r="V185" s="186"/>
      <c r="W185" s="176"/>
      <c r="X185" s="186"/>
      <c r="Y185" s="176"/>
      <c r="Z185" s="186"/>
      <c r="AA185" s="176"/>
      <c r="AB185" s="186"/>
      <c r="AC185" s="185">
        <f t="shared" si="2"/>
        <v>0</v>
      </c>
    </row>
    <row r="186" spans="1:29" ht="24" x14ac:dyDescent="0.25">
      <c r="A186" s="237">
        <v>41</v>
      </c>
      <c r="B186" s="237"/>
      <c r="C186" s="237"/>
      <c r="D186" s="238" t="s">
        <v>165</v>
      </c>
      <c r="G186" s="176"/>
      <c r="H186" s="186"/>
      <c r="I186" s="176"/>
      <c r="J186" s="186"/>
      <c r="K186" s="176"/>
      <c r="L186" s="186"/>
      <c r="M186" s="176"/>
      <c r="N186" s="186"/>
      <c r="O186" s="176"/>
      <c r="P186" s="186"/>
      <c r="Q186" s="168"/>
      <c r="R186" s="186"/>
      <c r="S186" s="176"/>
      <c r="T186" s="186"/>
      <c r="U186" s="176"/>
      <c r="V186" s="186"/>
      <c r="W186" s="176"/>
      <c r="X186" s="186"/>
      <c r="Y186" s="176"/>
      <c r="Z186" s="186"/>
      <c r="AA186" s="176"/>
      <c r="AB186" s="186"/>
      <c r="AC186" s="185">
        <f t="shared" si="2"/>
        <v>0</v>
      </c>
    </row>
    <row r="187" spans="1:29" ht="24" x14ac:dyDescent="0.25">
      <c r="A187" s="237">
        <v>42</v>
      </c>
      <c r="B187" s="237"/>
      <c r="C187" s="237"/>
      <c r="D187" s="238" t="s">
        <v>166</v>
      </c>
      <c r="G187" s="176"/>
      <c r="H187" s="186"/>
      <c r="I187" s="176"/>
      <c r="J187" s="186"/>
      <c r="K187" s="176"/>
      <c r="L187" s="186"/>
      <c r="M187" s="176"/>
      <c r="N187" s="186"/>
      <c r="O187" s="176"/>
      <c r="P187" s="186"/>
      <c r="Q187" s="168"/>
      <c r="R187" s="186"/>
      <c r="S187" s="176"/>
      <c r="T187" s="186"/>
      <c r="U187" s="176"/>
      <c r="V187" s="186"/>
      <c r="W187" s="176"/>
      <c r="X187" s="186"/>
      <c r="Y187" s="176"/>
      <c r="Z187" s="186"/>
      <c r="AA187" s="176"/>
      <c r="AB187" s="186"/>
      <c r="AC187" s="185">
        <f t="shared" si="2"/>
        <v>0</v>
      </c>
    </row>
    <row r="188" spans="1:29" ht="24" x14ac:dyDescent="0.25">
      <c r="A188" s="237">
        <v>43</v>
      </c>
      <c r="B188" s="237"/>
      <c r="C188" s="237"/>
      <c r="D188" s="238" t="s">
        <v>167</v>
      </c>
      <c r="G188" s="176"/>
      <c r="H188" s="186"/>
      <c r="I188" s="176"/>
      <c r="J188" s="186"/>
      <c r="K188" s="176"/>
      <c r="L188" s="186"/>
      <c r="M188" s="176"/>
      <c r="N188" s="186"/>
      <c r="O188" s="176"/>
      <c r="P188" s="186"/>
      <c r="Q188" s="168"/>
      <c r="R188" s="186"/>
      <c r="S188" s="176"/>
      <c r="T188" s="186"/>
      <c r="U188" s="176"/>
      <c r="V188" s="186"/>
      <c r="W188" s="176"/>
      <c r="X188" s="186"/>
      <c r="Y188" s="176"/>
      <c r="Z188" s="186"/>
      <c r="AA188" s="176"/>
      <c r="AB188" s="186"/>
      <c r="AC188" s="185">
        <f t="shared" si="2"/>
        <v>0</v>
      </c>
    </row>
    <row r="189" spans="1:29" ht="24" x14ac:dyDescent="0.25">
      <c r="A189" s="237">
        <v>44</v>
      </c>
      <c r="B189" s="237"/>
      <c r="C189" s="237"/>
      <c r="D189" s="238" t="s">
        <v>168</v>
      </c>
      <c r="G189" s="176"/>
      <c r="H189" s="186"/>
      <c r="I189" s="176"/>
      <c r="J189" s="186"/>
      <c r="K189" s="176"/>
      <c r="L189" s="186"/>
      <c r="M189" s="176"/>
      <c r="N189" s="186"/>
      <c r="O189" s="176"/>
      <c r="P189" s="186"/>
      <c r="Q189" s="168"/>
      <c r="R189" s="186"/>
      <c r="S189" s="176"/>
      <c r="T189" s="186"/>
      <c r="U189" s="176"/>
      <c r="V189" s="186"/>
      <c r="W189" s="176"/>
      <c r="X189" s="186"/>
      <c r="Y189" s="176"/>
      <c r="Z189" s="186"/>
      <c r="AA189" s="176"/>
      <c r="AB189" s="186"/>
      <c r="AC189" s="185">
        <f t="shared" si="2"/>
        <v>0</v>
      </c>
    </row>
    <row r="190" spans="1:29" ht="24" x14ac:dyDescent="0.25">
      <c r="A190" s="237">
        <v>45</v>
      </c>
      <c r="B190" s="237"/>
      <c r="C190" s="237"/>
      <c r="D190" s="238" t="s">
        <v>169</v>
      </c>
      <c r="G190" s="176"/>
      <c r="H190" s="186"/>
      <c r="I190" s="176"/>
      <c r="J190" s="186"/>
      <c r="K190" s="176"/>
      <c r="L190" s="186"/>
      <c r="M190" s="176"/>
      <c r="N190" s="186"/>
      <c r="O190" s="176"/>
      <c r="P190" s="186"/>
      <c r="Q190" s="168"/>
      <c r="R190" s="186"/>
      <c r="S190" s="176"/>
      <c r="T190" s="186"/>
      <c r="U190" s="176"/>
      <c r="V190" s="186"/>
      <c r="W190" s="176"/>
      <c r="X190" s="186"/>
      <c r="Y190" s="176"/>
      <c r="Z190" s="186"/>
      <c r="AA190" s="176"/>
      <c r="AB190" s="186"/>
      <c r="AC190" s="185">
        <f t="shared" si="2"/>
        <v>0</v>
      </c>
    </row>
    <row r="191" spans="1:29" ht="24" x14ac:dyDescent="0.25">
      <c r="A191" s="237">
        <v>46</v>
      </c>
      <c r="B191" s="237"/>
      <c r="C191" s="237"/>
      <c r="D191" s="238" t="s">
        <v>170</v>
      </c>
      <c r="G191" s="176"/>
      <c r="H191" s="186"/>
      <c r="I191" s="176"/>
      <c r="J191" s="186"/>
      <c r="K191" s="176"/>
      <c r="L191" s="186"/>
      <c r="M191" s="176"/>
      <c r="N191" s="186"/>
      <c r="O191" s="176"/>
      <c r="P191" s="186"/>
      <c r="Q191" s="168"/>
      <c r="R191" s="186"/>
      <c r="S191" s="176"/>
      <c r="T191" s="186"/>
      <c r="U191" s="176"/>
      <c r="V191" s="186"/>
      <c r="W191" s="176"/>
      <c r="X191" s="186"/>
      <c r="Y191" s="176"/>
      <c r="Z191" s="186"/>
      <c r="AA191" s="176"/>
      <c r="AB191" s="186"/>
      <c r="AC191" s="185">
        <f t="shared" si="2"/>
        <v>0</v>
      </c>
    </row>
    <row r="192" spans="1:29" ht="24" x14ac:dyDescent="0.25">
      <c r="A192" s="237">
        <v>47</v>
      </c>
      <c r="B192" s="237"/>
      <c r="C192" s="237"/>
      <c r="D192" s="238" t="s">
        <v>171</v>
      </c>
      <c r="G192" s="176"/>
      <c r="H192" s="186"/>
      <c r="I192" s="176"/>
      <c r="J192" s="186"/>
      <c r="K192" s="176"/>
      <c r="L192" s="186"/>
      <c r="M192" s="176"/>
      <c r="N192" s="186"/>
      <c r="O192" s="176"/>
      <c r="P192" s="186"/>
      <c r="Q192" s="168"/>
      <c r="R192" s="186"/>
      <c r="S192" s="176"/>
      <c r="T192" s="186"/>
      <c r="U192" s="176"/>
      <c r="V192" s="186"/>
      <c r="W192" s="176"/>
      <c r="X192" s="186"/>
      <c r="Y192" s="176"/>
      <c r="Z192" s="186"/>
      <c r="AA192" s="176"/>
      <c r="AB192" s="186"/>
      <c r="AC192" s="185">
        <f t="shared" si="2"/>
        <v>0</v>
      </c>
    </row>
    <row r="193" spans="1:29" ht="24" x14ac:dyDescent="0.25">
      <c r="A193" s="237">
        <v>48</v>
      </c>
      <c r="B193" s="237"/>
      <c r="C193" s="237"/>
      <c r="D193" s="238" t="s">
        <v>172</v>
      </c>
      <c r="G193" s="176"/>
      <c r="H193" s="186"/>
      <c r="I193" s="176"/>
      <c r="J193" s="186"/>
      <c r="K193" s="176"/>
      <c r="L193" s="186"/>
      <c r="M193" s="176"/>
      <c r="N193" s="186"/>
      <c r="O193" s="176"/>
      <c r="P193" s="186"/>
      <c r="Q193" s="168"/>
      <c r="R193" s="186"/>
      <c r="S193" s="176"/>
      <c r="T193" s="186"/>
      <c r="U193" s="176"/>
      <c r="V193" s="186"/>
      <c r="W193" s="176"/>
      <c r="X193" s="186"/>
      <c r="Y193" s="176"/>
      <c r="Z193" s="186"/>
      <c r="AA193" s="176"/>
      <c r="AB193" s="186"/>
      <c r="AC193" s="185">
        <f t="shared" si="2"/>
        <v>0</v>
      </c>
    </row>
    <row r="194" spans="1:29" ht="24" x14ac:dyDescent="0.25">
      <c r="A194" s="237">
        <v>49</v>
      </c>
      <c r="B194" s="237"/>
      <c r="C194" s="237"/>
      <c r="D194" s="238" t="s">
        <v>173</v>
      </c>
      <c r="G194" s="176"/>
      <c r="H194" s="186"/>
      <c r="I194" s="176"/>
      <c r="J194" s="186"/>
      <c r="K194" s="176"/>
      <c r="L194" s="186"/>
      <c r="M194" s="176"/>
      <c r="N194" s="186"/>
      <c r="O194" s="176"/>
      <c r="P194" s="186"/>
      <c r="Q194" s="168"/>
      <c r="R194" s="186"/>
      <c r="S194" s="176"/>
      <c r="T194" s="186"/>
      <c r="U194" s="176"/>
      <c r="V194" s="186"/>
      <c r="W194" s="176"/>
      <c r="X194" s="186"/>
      <c r="Y194" s="176"/>
      <c r="Z194" s="186"/>
      <c r="AA194" s="176"/>
      <c r="AB194" s="186"/>
      <c r="AC194" s="185">
        <f t="shared" si="2"/>
        <v>0</v>
      </c>
    </row>
    <row r="195" spans="1:29" ht="24" x14ac:dyDescent="0.25">
      <c r="A195" s="237">
        <v>50</v>
      </c>
      <c r="B195" s="237"/>
      <c r="C195" s="237"/>
      <c r="D195" s="238" t="s">
        <v>174</v>
      </c>
      <c r="G195" s="176"/>
      <c r="H195" s="186"/>
      <c r="I195" s="176"/>
      <c r="J195" s="186"/>
      <c r="K195" s="176"/>
      <c r="L195" s="186"/>
      <c r="M195" s="176"/>
      <c r="N195" s="186"/>
      <c r="O195" s="176"/>
      <c r="P195" s="186"/>
      <c r="Q195" s="168"/>
      <c r="R195" s="186"/>
      <c r="S195" s="176"/>
      <c r="T195" s="186"/>
      <c r="U195" s="176"/>
      <c r="V195" s="186"/>
      <c r="W195" s="176"/>
      <c r="X195" s="186"/>
      <c r="Y195" s="176"/>
      <c r="Z195" s="186"/>
      <c r="AA195" s="176"/>
      <c r="AB195" s="186"/>
      <c r="AC195" s="185">
        <f t="shared" si="2"/>
        <v>0</v>
      </c>
    </row>
    <row r="196" spans="1:29" ht="24" x14ac:dyDescent="0.25">
      <c r="A196" s="237">
        <v>51</v>
      </c>
      <c r="B196" s="237"/>
      <c r="C196" s="237"/>
      <c r="D196" s="238" t="s">
        <v>175</v>
      </c>
      <c r="G196" s="176"/>
      <c r="H196" s="186"/>
      <c r="I196" s="176"/>
      <c r="J196" s="186"/>
      <c r="K196" s="176"/>
      <c r="L196" s="186"/>
      <c r="M196" s="176"/>
      <c r="N196" s="186"/>
      <c r="O196" s="176"/>
      <c r="P196" s="186"/>
      <c r="Q196" s="168"/>
      <c r="R196" s="186"/>
      <c r="S196" s="176"/>
      <c r="T196" s="186"/>
      <c r="U196" s="176"/>
      <c r="V196" s="186"/>
      <c r="W196" s="176"/>
      <c r="X196" s="186"/>
      <c r="Y196" s="176"/>
      <c r="Z196" s="186"/>
      <c r="AA196" s="176"/>
      <c r="AB196" s="186"/>
      <c r="AC196" s="185">
        <f t="shared" si="2"/>
        <v>0</v>
      </c>
    </row>
    <row r="197" spans="1:29" ht="24" x14ac:dyDescent="0.25">
      <c r="A197" s="237">
        <v>52</v>
      </c>
      <c r="B197" s="237"/>
      <c r="C197" s="237"/>
      <c r="D197" s="238" t="s">
        <v>176</v>
      </c>
      <c r="G197" s="176"/>
      <c r="H197" s="186"/>
      <c r="I197" s="176"/>
      <c r="J197" s="186"/>
      <c r="K197" s="176"/>
      <c r="L197" s="186"/>
      <c r="M197" s="176"/>
      <c r="N197" s="186"/>
      <c r="O197" s="176"/>
      <c r="P197" s="186"/>
      <c r="Q197" s="168"/>
      <c r="R197" s="186"/>
      <c r="S197" s="176"/>
      <c r="T197" s="186"/>
      <c r="U197" s="176"/>
      <c r="V197" s="186"/>
      <c r="W197" s="176"/>
      <c r="X197" s="186"/>
      <c r="Y197" s="176"/>
      <c r="Z197" s="186"/>
      <c r="AA197" s="176"/>
      <c r="AB197" s="186"/>
      <c r="AC197" s="185">
        <f t="shared" si="2"/>
        <v>0</v>
      </c>
    </row>
    <row r="198" spans="1:29" ht="24" x14ac:dyDescent="0.25">
      <c r="A198" s="237">
        <v>53</v>
      </c>
      <c r="B198" s="237"/>
      <c r="C198" s="237"/>
      <c r="D198" s="238" t="s">
        <v>177</v>
      </c>
      <c r="G198" s="176"/>
      <c r="H198" s="186"/>
      <c r="I198" s="176"/>
      <c r="J198" s="186"/>
      <c r="K198" s="176"/>
      <c r="L198" s="186"/>
      <c r="M198" s="176"/>
      <c r="N198" s="186"/>
      <c r="O198" s="176"/>
      <c r="P198" s="186"/>
      <c r="Q198" s="168"/>
      <c r="R198" s="186"/>
      <c r="S198" s="176"/>
      <c r="T198" s="186"/>
      <c r="U198" s="176"/>
      <c r="V198" s="186"/>
      <c r="W198" s="176"/>
      <c r="X198" s="186"/>
      <c r="Y198" s="176"/>
      <c r="Z198" s="186"/>
      <c r="AA198" s="176"/>
      <c r="AB198" s="186"/>
      <c r="AC198" s="185">
        <f t="shared" si="2"/>
        <v>0</v>
      </c>
    </row>
    <row r="199" spans="1:29" ht="24" x14ac:dyDescent="0.25">
      <c r="A199" s="237">
        <v>54</v>
      </c>
      <c r="B199" s="237"/>
      <c r="C199" s="237"/>
      <c r="D199" s="238" t="s">
        <v>178</v>
      </c>
      <c r="G199" s="176"/>
      <c r="H199" s="186"/>
      <c r="I199" s="176"/>
      <c r="J199" s="186"/>
      <c r="K199" s="176"/>
      <c r="L199" s="186"/>
      <c r="M199" s="176"/>
      <c r="N199" s="186"/>
      <c r="O199" s="176"/>
      <c r="P199" s="186"/>
      <c r="Q199" s="168"/>
      <c r="R199" s="186"/>
      <c r="S199" s="176"/>
      <c r="T199" s="186"/>
      <c r="U199" s="176"/>
      <c r="V199" s="186"/>
      <c r="W199" s="176"/>
      <c r="X199" s="186"/>
      <c r="Y199" s="176"/>
      <c r="Z199" s="186"/>
      <c r="AA199" s="176"/>
      <c r="AB199" s="186"/>
      <c r="AC199" s="185">
        <f t="shared" si="2"/>
        <v>0</v>
      </c>
    </row>
    <row r="200" spans="1:29" ht="24" x14ac:dyDescent="0.25">
      <c r="A200" s="239">
        <v>55</v>
      </c>
      <c r="B200" s="239"/>
      <c r="C200" s="239"/>
      <c r="D200" s="240" t="s">
        <v>179</v>
      </c>
      <c r="G200" s="176"/>
      <c r="H200" s="186"/>
      <c r="I200" s="176"/>
      <c r="J200" s="186"/>
      <c r="K200" s="176"/>
      <c r="L200" s="186"/>
      <c r="M200" s="176"/>
      <c r="N200" s="177"/>
      <c r="O200" s="176"/>
      <c r="P200" s="186"/>
      <c r="Q200" s="168"/>
      <c r="R200" s="186"/>
      <c r="S200" s="176"/>
      <c r="T200" s="186"/>
      <c r="U200" s="176"/>
      <c r="V200" s="186"/>
      <c r="W200" s="176"/>
      <c r="X200" s="186"/>
      <c r="Y200" s="176"/>
      <c r="Z200" s="186"/>
      <c r="AA200" s="176"/>
      <c r="AB200" s="186"/>
      <c r="AC200" s="185">
        <f t="shared" si="2"/>
        <v>0</v>
      </c>
    </row>
    <row r="201" spans="1:29" ht="24" x14ac:dyDescent="0.25">
      <c r="A201" s="239">
        <v>56</v>
      </c>
      <c r="B201" s="239"/>
      <c r="C201" s="239"/>
      <c r="D201" s="240" t="s">
        <v>180</v>
      </c>
      <c r="G201" s="176"/>
      <c r="H201" s="186"/>
      <c r="I201" s="176"/>
      <c r="J201" s="186"/>
      <c r="K201" s="176"/>
      <c r="L201" s="186"/>
      <c r="M201" s="176"/>
      <c r="N201" s="186"/>
      <c r="O201" s="176"/>
      <c r="P201" s="186"/>
      <c r="Q201" s="168"/>
      <c r="R201" s="186"/>
      <c r="S201" s="176"/>
      <c r="T201" s="186"/>
      <c r="U201" s="176"/>
      <c r="V201" s="186"/>
      <c r="W201" s="176"/>
      <c r="X201" s="186"/>
      <c r="Y201" s="176"/>
      <c r="Z201" s="186"/>
      <c r="AA201" s="176"/>
      <c r="AB201" s="186"/>
      <c r="AC201" s="185">
        <f t="shared" si="2"/>
        <v>0</v>
      </c>
    </row>
    <row r="202" spans="1:29" ht="24" x14ac:dyDescent="0.25">
      <c r="A202" s="239">
        <v>57</v>
      </c>
      <c r="B202" s="239"/>
      <c r="C202" s="239"/>
      <c r="D202" s="240" t="s">
        <v>181</v>
      </c>
      <c r="G202" s="176"/>
      <c r="H202" s="186"/>
      <c r="I202" s="176"/>
      <c r="J202" s="186"/>
      <c r="K202" s="176"/>
      <c r="L202" s="186"/>
      <c r="M202" s="176"/>
      <c r="N202" s="186"/>
      <c r="O202" s="176"/>
      <c r="P202" s="186"/>
      <c r="Q202" s="168"/>
      <c r="R202" s="186"/>
      <c r="S202" s="176"/>
      <c r="T202" s="186"/>
      <c r="U202" s="176"/>
      <c r="V202" s="186"/>
      <c r="W202" s="176"/>
      <c r="X202" s="186"/>
      <c r="Y202" s="176"/>
      <c r="Z202" s="186"/>
      <c r="AA202" s="176"/>
      <c r="AB202" s="186"/>
      <c r="AC202" s="185">
        <f t="shared" si="2"/>
        <v>0</v>
      </c>
    </row>
    <row r="203" spans="1:29" ht="24" x14ac:dyDescent="0.25">
      <c r="A203" s="239">
        <v>58</v>
      </c>
      <c r="B203" s="239"/>
      <c r="C203" s="239"/>
      <c r="D203" s="240" t="s">
        <v>182</v>
      </c>
      <c r="G203" s="176"/>
      <c r="H203" s="186"/>
      <c r="I203" s="176"/>
      <c r="J203" s="186"/>
      <c r="K203" s="176"/>
      <c r="L203" s="186"/>
      <c r="M203" s="176"/>
      <c r="N203" s="186"/>
      <c r="O203" s="176"/>
      <c r="P203" s="186"/>
      <c r="Q203" s="168"/>
      <c r="R203" s="186"/>
      <c r="S203" s="176"/>
      <c r="T203" s="186"/>
      <c r="U203" s="176"/>
      <c r="V203" s="186"/>
      <c r="W203" s="176"/>
      <c r="X203" s="186"/>
      <c r="Y203" s="176"/>
      <c r="Z203" s="186"/>
      <c r="AA203" s="176"/>
      <c r="AB203" s="186"/>
      <c r="AC203" s="185">
        <f t="shared" si="2"/>
        <v>0</v>
      </c>
    </row>
    <row r="204" spans="1:29" ht="24" x14ac:dyDescent="0.25">
      <c r="A204" s="239">
        <v>59</v>
      </c>
      <c r="B204" s="239"/>
      <c r="C204" s="239"/>
      <c r="D204" s="240" t="s">
        <v>183</v>
      </c>
      <c r="G204" s="176"/>
      <c r="H204" s="186"/>
      <c r="I204" s="176"/>
      <c r="J204" s="186"/>
      <c r="K204" s="176"/>
      <c r="L204" s="186"/>
      <c r="M204" s="176"/>
      <c r="N204" s="177"/>
      <c r="O204" s="176"/>
      <c r="P204" s="186"/>
      <c r="Q204" s="168"/>
      <c r="R204" s="186"/>
      <c r="S204" s="176"/>
      <c r="T204" s="186"/>
      <c r="U204" s="176"/>
      <c r="V204" s="186"/>
      <c r="W204" s="176"/>
      <c r="X204" s="186"/>
      <c r="Y204" s="176"/>
      <c r="Z204" s="186"/>
      <c r="AA204" s="176"/>
      <c r="AB204" s="186"/>
      <c r="AC204" s="185">
        <f t="shared" ref="AC204:AC234" si="3">SUM(E204:AB204)</f>
        <v>0</v>
      </c>
    </row>
    <row r="205" spans="1:29" ht="24" x14ac:dyDescent="0.25">
      <c r="A205" s="239">
        <v>60</v>
      </c>
      <c r="B205" s="239"/>
      <c r="C205" s="239"/>
      <c r="D205" s="240" t="s">
        <v>184</v>
      </c>
      <c r="G205" s="176"/>
      <c r="H205" s="186"/>
      <c r="I205" s="176"/>
      <c r="J205" s="186"/>
      <c r="K205" s="176"/>
      <c r="L205" s="186"/>
      <c r="M205" s="176"/>
      <c r="N205" s="186"/>
      <c r="O205" s="176"/>
      <c r="P205" s="186"/>
      <c r="Q205" s="168"/>
      <c r="R205" s="186"/>
      <c r="S205" s="176"/>
      <c r="T205" s="186"/>
      <c r="U205" s="176"/>
      <c r="V205" s="186"/>
      <c r="W205" s="176"/>
      <c r="X205" s="186"/>
      <c r="Y205" s="176"/>
      <c r="Z205" s="186"/>
      <c r="AA205" s="176"/>
      <c r="AB205" s="186"/>
      <c r="AC205" s="185">
        <f t="shared" si="3"/>
        <v>0</v>
      </c>
    </row>
    <row r="206" spans="1:29" ht="24" x14ac:dyDescent="0.25">
      <c r="A206" s="239">
        <v>61</v>
      </c>
      <c r="B206" s="239"/>
      <c r="C206" s="239"/>
      <c r="D206" s="240" t="s">
        <v>185</v>
      </c>
      <c r="G206" s="176"/>
      <c r="H206" s="186"/>
      <c r="I206" s="176"/>
      <c r="J206" s="186"/>
      <c r="K206" s="176"/>
      <c r="L206" s="186"/>
      <c r="M206" s="176"/>
      <c r="N206" s="186"/>
      <c r="O206" s="176"/>
      <c r="P206" s="186"/>
      <c r="Q206" s="168"/>
      <c r="R206" s="186"/>
      <c r="S206" s="176"/>
      <c r="T206" s="186"/>
      <c r="U206" s="176"/>
      <c r="V206" s="186"/>
      <c r="W206" s="176"/>
      <c r="X206" s="186"/>
      <c r="Y206" s="176"/>
      <c r="Z206" s="186"/>
      <c r="AA206" s="176"/>
      <c r="AB206" s="186"/>
      <c r="AC206" s="185">
        <f t="shared" si="3"/>
        <v>0</v>
      </c>
    </row>
    <row r="207" spans="1:29" ht="24" x14ac:dyDescent="0.25">
      <c r="A207" s="239">
        <v>62</v>
      </c>
      <c r="B207" s="239"/>
      <c r="C207" s="239"/>
      <c r="D207" s="240" t="s">
        <v>186</v>
      </c>
      <c r="G207" s="176"/>
      <c r="H207" s="186"/>
      <c r="I207" s="176"/>
      <c r="J207" s="186"/>
      <c r="K207" s="176"/>
      <c r="L207" s="186"/>
      <c r="M207" s="176"/>
      <c r="N207" s="186"/>
      <c r="O207" s="176"/>
      <c r="P207" s="186"/>
      <c r="Q207" s="168"/>
      <c r="R207" s="186"/>
      <c r="S207" s="176"/>
      <c r="T207" s="186"/>
      <c r="U207" s="176"/>
      <c r="V207" s="186"/>
      <c r="W207" s="176"/>
      <c r="X207" s="186"/>
      <c r="Y207" s="176"/>
      <c r="Z207" s="186"/>
      <c r="AA207" s="176"/>
      <c r="AB207" s="186"/>
      <c r="AC207" s="185">
        <f t="shared" si="3"/>
        <v>0</v>
      </c>
    </row>
    <row r="208" spans="1:29" ht="24" x14ac:dyDescent="0.25">
      <c r="A208" s="239">
        <v>63</v>
      </c>
      <c r="B208" s="239"/>
      <c r="C208" s="239"/>
      <c r="D208" s="240" t="s">
        <v>187</v>
      </c>
      <c r="G208" s="176"/>
      <c r="H208" s="186"/>
      <c r="I208" s="176"/>
      <c r="J208" s="186"/>
      <c r="K208" s="176"/>
      <c r="L208" s="186"/>
      <c r="M208" s="176"/>
      <c r="N208" s="186"/>
      <c r="O208" s="176"/>
      <c r="P208" s="186"/>
      <c r="Q208" s="168"/>
      <c r="R208" s="186"/>
      <c r="S208" s="176"/>
      <c r="T208" s="186"/>
      <c r="U208" s="176"/>
      <c r="V208" s="186"/>
      <c r="W208" s="176"/>
      <c r="X208" s="186"/>
      <c r="Y208" s="176"/>
      <c r="Z208" s="186"/>
      <c r="AA208" s="176"/>
      <c r="AB208" s="186"/>
      <c r="AC208" s="185">
        <f t="shared" si="3"/>
        <v>0</v>
      </c>
    </row>
    <row r="209" spans="1:29" ht="24" x14ac:dyDescent="0.25">
      <c r="A209" s="239">
        <v>64</v>
      </c>
      <c r="B209" s="239"/>
      <c r="C209" s="239"/>
      <c r="D209" s="240" t="s">
        <v>188</v>
      </c>
      <c r="G209" s="176"/>
      <c r="H209" s="186"/>
      <c r="I209" s="176"/>
      <c r="J209" s="186"/>
      <c r="K209" s="176"/>
      <c r="L209" s="186"/>
      <c r="M209" s="176"/>
      <c r="N209" s="186"/>
      <c r="O209" s="176"/>
      <c r="P209" s="186"/>
      <c r="Q209" s="168"/>
      <c r="R209" s="186"/>
      <c r="S209" s="176"/>
      <c r="T209" s="186"/>
      <c r="U209" s="176"/>
      <c r="V209" s="186"/>
      <c r="W209" s="176"/>
      <c r="X209" s="186"/>
      <c r="Y209" s="176"/>
      <c r="Z209" s="186"/>
      <c r="AA209" s="176"/>
      <c r="AB209" s="186"/>
      <c r="AC209" s="185">
        <f t="shared" si="3"/>
        <v>0</v>
      </c>
    </row>
    <row r="210" spans="1:29" ht="24" x14ac:dyDescent="0.25">
      <c r="A210" s="239">
        <v>65</v>
      </c>
      <c r="B210" s="239"/>
      <c r="C210" s="239"/>
      <c r="D210" s="240" t="s">
        <v>189</v>
      </c>
      <c r="G210" s="176"/>
      <c r="H210" s="186"/>
      <c r="I210" s="176"/>
      <c r="J210" s="186"/>
      <c r="K210" s="176"/>
      <c r="L210" s="186"/>
      <c r="M210" s="176"/>
      <c r="N210" s="177"/>
      <c r="O210" s="176"/>
      <c r="P210" s="186"/>
      <c r="Q210" s="168"/>
      <c r="R210" s="186"/>
      <c r="S210" s="176"/>
      <c r="T210" s="186"/>
      <c r="U210" s="176"/>
      <c r="V210" s="186"/>
      <c r="W210" s="176"/>
      <c r="X210" s="186"/>
      <c r="Y210" s="176"/>
      <c r="Z210" s="186"/>
      <c r="AA210" s="176"/>
      <c r="AB210" s="186"/>
      <c r="AC210" s="185">
        <f t="shared" si="3"/>
        <v>0</v>
      </c>
    </row>
    <row r="211" spans="1:29" ht="24" x14ac:dyDescent="0.25">
      <c r="A211" s="239">
        <v>66</v>
      </c>
      <c r="B211" s="239"/>
      <c r="C211" s="239"/>
      <c r="D211" s="240" t="s">
        <v>190</v>
      </c>
      <c r="G211" s="176"/>
      <c r="H211" s="186"/>
      <c r="I211" s="176"/>
      <c r="J211" s="186"/>
      <c r="K211" s="176"/>
      <c r="L211" s="186"/>
      <c r="M211" s="176"/>
      <c r="N211" s="186"/>
      <c r="O211" s="176"/>
      <c r="P211" s="186"/>
      <c r="Q211" s="168"/>
      <c r="R211" s="186"/>
      <c r="S211" s="176"/>
      <c r="T211" s="186"/>
      <c r="U211" s="176"/>
      <c r="V211" s="186"/>
      <c r="W211" s="176"/>
      <c r="X211" s="186"/>
      <c r="Y211" s="176"/>
      <c r="Z211" s="186"/>
      <c r="AA211" s="176"/>
      <c r="AB211" s="186"/>
      <c r="AC211" s="185">
        <f t="shared" si="3"/>
        <v>0</v>
      </c>
    </row>
    <row r="212" spans="1:29" ht="24" x14ac:dyDescent="0.25">
      <c r="A212" s="239">
        <v>67</v>
      </c>
      <c r="B212" s="239"/>
      <c r="C212" s="239"/>
      <c r="D212" s="240" t="s">
        <v>191</v>
      </c>
      <c r="G212" s="176"/>
      <c r="H212" s="186"/>
      <c r="I212" s="176"/>
      <c r="J212" s="186"/>
      <c r="K212" s="176"/>
      <c r="L212" s="186"/>
      <c r="M212" s="176"/>
      <c r="N212" s="186"/>
      <c r="O212" s="176"/>
      <c r="P212" s="186"/>
      <c r="Q212" s="168"/>
      <c r="R212" s="186"/>
      <c r="S212" s="176"/>
      <c r="T212" s="186"/>
      <c r="U212" s="176"/>
      <c r="V212" s="186"/>
      <c r="W212" s="176"/>
      <c r="X212" s="186"/>
      <c r="Y212" s="176"/>
      <c r="Z212" s="186"/>
      <c r="AA212" s="176"/>
      <c r="AB212" s="186"/>
      <c r="AC212" s="185">
        <f t="shared" si="3"/>
        <v>0</v>
      </c>
    </row>
    <row r="213" spans="1:29" ht="24" x14ac:dyDescent="0.25">
      <c r="A213" s="239">
        <v>68</v>
      </c>
      <c r="B213" s="239"/>
      <c r="C213" s="239"/>
      <c r="D213" s="240" t="s">
        <v>192</v>
      </c>
      <c r="G213" s="176"/>
      <c r="H213" s="186"/>
      <c r="I213" s="176"/>
      <c r="J213" s="186"/>
      <c r="K213" s="176"/>
      <c r="L213" s="186"/>
      <c r="M213" s="176"/>
      <c r="N213" s="186"/>
      <c r="O213" s="176"/>
      <c r="P213" s="186"/>
      <c r="Q213" s="168"/>
      <c r="R213" s="186"/>
      <c r="S213" s="176"/>
      <c r="T213" s="186"/>
      <c r="U213" s="176"/>
      <c r="V213" s="186"/>
      <c r="W213" s="176"/>
      <c r="X213" s="186"/>
      <c r="Y213" s="176"/>
      <c r="Z213" s="186"/>
      <c r="AA213" s="176"/>
      <c r="AB213" s="186"/>
      <c r="AC213" s="185">
        <f t="shared" si="3"/>
        <v>0</v>
      </c>
    </row>
    <row r="214" spans="1:29" ht="24" x14ac:dyDescent="0.25">
      <c r="A214" s="239">
        <v>69</v>
      </c>
      <c r="B214" s="239"/>
      <c r="C214" s="239"/>
      <c r="D214" s="240" t="s">
        <v>193</v>
      </c>
      <c r="G214" s="176"/>
      <c r="H214" s="186"/>
      <c r="I214" s="176"/>
      <c r="J214" s="186"/>
      <c r="K214" s="176"/>
      <c r="L214" s="186"/>
      <c r="M214" s="176"/>
      <c r="N214" s="186"/>
      <c r="O214" s="176"/>
      <c r="P214" s="186"/>
      <c r="Q214" s="168"/>
      <c r="R214" s="186"/>
      <c r="S214" s="176"/>
      <c r="T214" s="186"/>
      <c r="U214" s="176"/>
      <c r="V214" s="186"/>
      <c r="W214" s="176"/>
      <c r="X214" s="186"/>
      <c r="Y214" s="176"/>
      <c r="Z214" s="186"/>
      <c r="AA214" s="176"/>
      <c r="AB214" s="186"/>
      <c r="AC214" s="185">
        <f t="shared" si="3"/>
        <v>0</v>
      </c>
    </row>
    <row r="215" spans="1:29" ht="24" x14ac:dyDescent="0.25">
      <c r="A215" s="239">
        <v>70</v>
      </c>
      <c r="B215" s="239"/>
      <c r="C215" s="239"/>
      <c r="D215" s="240" t="s">
        <v>194</v>
      </c>
      <c r="G215" s="176"/>
      <c r="H215" s="186"/>
      <c r="I215" s="176"/>
      <c r="J215" s="186"/>
      <c r="K215" s="176"/>
      <c r="L215" s="186"/>
      <c r="M215" s="176"/>
      <c r="N215" s="186"/>
      <c r="O215" s="176"/>
      <c r="P215" s="186"/>
      <c r="Q215" s="168"/>
      <c r="R215" s="186"/>
      <c r="S215" s="176"/>
      <c r="T215" s="186"/>
      <c r="U215" s="176"/>
      <c r="V215" s="186"/>
      <c r="W215" s="176"/>
      <c r="X215" s="186"/>
      <c r="Y215" s="176"/>
      <c r="Z215" s="186"/>
      <c r="AA215" s="176"/>
      <c r="AB215" s="186"/>
      <c r="AC215" s="185">
        <f t="shared" si="3"/>
        <v>0</v>
      </c>
    </row>
    <row r="216" spans="1:29" ht="24" x14ac:dyDescent="0.25">
      <c r="A216" s="239">
        <v>71</v>
      </c>
      <c r="B216" s="239"/>
      <c r="C216" s="239"/>
      <c r="D216" s="240" t="s">
        <v>195</v>
      </c>
      <c r="G216" s="176"/>
      <c r="H216" s="186"/>
      <c r="I216" s="176"/>
      <c r="J216" s="186"/>
      <c r="K216" s="176"/>
      <c r="L216" s="186"/>
      <c r="M216" s="176"/>
      <c r="N216" s="186"/>
      <c r="O216" s="176"/>
      <c r="P216" s="186"/>
      <c r="Q216" s="168"/>
      <c r="R216" s="186"/>
      <c r="S216" s="176"/>
      <c r="T216" s="186"/>
      <c r="U216" s="176"/>
      <c r="V216" s="186"/>
      <c r="W216" s="176"/>
      <c r="X216" s="186"/>
      <c r="Y216" s="176"/>
      <c r="Z216" s="186"/>
      <c r="AA216" s="176"/>
      <c r="AB216" s="186"/>
      <c r="AC216" s="185">
        <f t="shared" si="3"/>
        <v>0</v>
      </c>
    </row>
    <row r="217" spans="1:29" ht="24" x14ac:dyDescent="0.25">
      <c r="A217" s="239">
        <v>72</v>
      </c>
      <c r="B217" s="239"/>
      <c r="C217" s="239"/>
      <c r="D217" s="240" t="s">
        <v>196</v>
      </c>
      <c r="G217" s="176"/>
      <c r="H217" s="186"/>
      <c r="I217" s="176"/>
      <c r="J217" s="186"/>
      <c r="K217" s="176"/>
      <c r="L217" s="186"/>
      <c r="M217" s="176"/>
      <c r="N217" s="186"/>
      <c r="O217" s="176"/>
      <c r="P217" s="186"/>
      <c r="Q217" s="168"/>
      <c r="R217" s="186"/>
      <c r="S217" s="176"/>
      <c r="T217" s="186"/>
      <c r="U217" s="176"/>
      <c r="V217" s="186"/>
      <c r="W217" s="176"/>
      <c r="X217" s="186"/>
      <c r="Y217" s="176"/>
      <c r="Z217" s="186"/>
      <c r="AA217" s="176"/>
      <c r="AB217" s="186"/>
      <c r="AC217" s="185">
        <f t="shared" si="3"/>
        <v>0</v>
      </c>
    </row>
    <row r="218" spans="1:29" ht="24" x14ac:dyDescent="0.25">
      <c r="A218" s="239">
        <v>73</v>
      </c>
      <c r="B218" s="239"/>
      <c r="C218" s="239"/>
      <c r="D218" s="240" t="s">
        <v>197</v>
      </c>
      <c r="G218" s="176"/>
      <c r="H218" s="186"/>
      <c r="I218" s="176"/>
      <c r="J218" s="186"/>
      <c r="K218" s="176"/>
      <c r="L218" s="186"/>
      <c r="M218" s="176"/>
      <c r="N218" s="186"/>
      <c r="O218" s="176"/>
      <c r="P218" s="186"/>
      <c r="Q218" s="168"/>
      <c r="R218" s="186"/>
      <c r="S218" s="176"/>
      <c r="T218" s="186"/>
      <c r="U218" s="176"/>
      <c r="V218" s="186"/>
      <c r="W218" s="176"/>
      <c r="X218" s="186"/>
      <c r="Y218" s="176"/>
      <c r="Z218" s="186"/>
      <c r="AA218" s="176"/>
      <c r="AB218" s="186"/>
      <c r="AC218" s="185">
        <f t="shared" si="3"/>
        <v>0</v>
      </c>
    </row>
    <row r="219" spans="1:29" ht="24" x14ac:dyDescent="0.25">
      <c r="A219" s="239">
        <v>74</v>
      </c>
      <c r="B219" s="239"/>
      <c r="C219" s="239"/>
      <c r="D219" s="240" t="s">
        <v>198</v>
      </c>
      <c r="G219" s="176"/>
      <c r="H219" s="186"/>
      <c r="I219" s="176"/>
      <c r="J219" s="186"/>
      <c r="K219" s="176"/>
      <c r="L219" s="186"/>
      <c r="M219" s="176"/>
      <c r="N219" s="186"/>
      <c r="O219" s="176"/>
      <c r="P219" s="186"/>
      <c r="Q219" s="168"/>
      <c r="R219" s="186"/>
      <c r="S219" s="176"/>
      <c r="T219" s="186"/>
      <c r="U219" s="176"/>
      <c r="V219" s="186"/>
      <c r="W219" s="176"/>
      <c r="X219" s="186"/>
      <c r="Y219" s="176"/>
      <c r="Z219" s="186"/>
      <c r="AA219" s="176"/>
      <c r="AB219" s="186"/>
      <c r="AC219" s="185">
        <f t="shared" si="3"/>
        <v>0</v>
      </c>
    </row>
    <row r="220" spans="1:29" ht="24" x14ac:dyDescent="0.25">
      <c r="A220" s="239">
        <v>75</v>
      </c>
      <c r="B220" s="239"/>
      <c r="C220" s="239"/>
      <c r="D220" s="240" t="s">
        <v>199</v>
      </c>
      <c r="G220" s="176"/>
      <c r="H220" s="186"/>
      <c r="I220" s="176"/>
      <c r="J220" s="186"/>
      <c r="K220" s="176"/>
      <c r="L220" s="186"/>
      <c r="M220" s="176"/>
      <c r="N220" s="186"/>
      <c r="O220" s="176"/>
      <c r="P220" s="186"/>
      <c r="Q220" s="168"/>
      <c r="R220" s="186"/>
      <c r="S220" s="176"/>
      <c r="T220" s="186"/>
      <c r="U220" s="176"/>
      <c r="V220" s="186"/>
      <c r="W220" s="176"/>
      <c r="X220" s="186"/>
      <c r="Y220" s="176"/>
      <c r="Z220" s="186"/>
      <c r="AA220" s="176"/>
      <c r="AB220" s="186"/>
      <c r="AC220" s="185">
        <f t="shared" si="3"/>
        <v>0</v>
      </c>
    </row>
    <row r="221" spans="1:29" ht="24" x14ac:dyDescent="0.25">
      <c r="A221" s="241">
        <v>76</v>
      </c>
      <c r="B221" s="241"/>
      <c r="C221" s="241"/>
      <c r="D221" s="242" t="s">
        <v>340</v>
      </c>
      <c r="G221" s="176"/>
      <c r="H221" s="186"/>
      <c r="I221" s="176"/>
      <c r="J221" s="186"/>
      <c r="K221" s="176"/>
      <c r="L221" s="186"/>
      <c r="M221" s="176"/>
      <c r="N221" s="186"/>
      <c r="O221" s="176"/>
      <c r="P221" s="186"/>
      <c r="Q221" s="168"/>
      <c r="R221" s="186"/>
      <c r="S221" s="176"/>
      <c r="T221" s="186"/>
      <c r="U221" s="176"/>
      <c r="V221" s="186"/>
      <c r="W221" s="176"/>
      <c r="X221" s="186"/>
      <c r="Y221" s="176"/>
      <c r="Z221" s="186"/>
      <c r="AA221" s="176"/>
      <c r="AB221" s="186"/>
      <c r="AC221" s="185">
        <f t="shared" si="3"/>
        <v>0</v>
      </c>
    </row>
    <row r="222" spans="1:29" ht="24" x14ac:dyDescent="0.25">
      <c r="A222" s="241">
        <v>77</v>
      </c>
      <c r="B222" s="241"/>
      <c r="C222" s="241"/>
      <c r="D222" s="242" t="s">
        <v>201</v>
      </c>
      <c r="G222" s="176"/>
      <c r="H222" s="186"/>
      <c r="I222" s="176"/>
      <c r="J222" s="186"/>
      <c r="K222" s="176"/>
      <c r="L222" s="186"/>
      <c r="M222" s="176"/>
      <c r="N222" s="177"/>
      <c r="O222" s="176"/>
      <c r="P222" s="186"/>
      <c r="Q222" s="176"/>
      <c r="R222" s="186"/>
      <c r="S222" s="176"/>
      <c r="T222" s="186"/>
      <c r="U222" s="176"/>
      <c r="V222" s="186"/>
      <c r="W222" s="176"/>
      <c r="X222" s="186"/>
      <c r="Y222" s="176"/>
      <c r="Z222" s="186"/>
      <c r="AA222" s="176"/>
      <c r="AB222" s="186"/>
      <c r="AC222" s="185">
        <f t="shared" si="3"/>
        <v>0</v>
      </c>
    </row>
    <row r="223" spans="1:29" ht="24" x14ac:dyDescent="0.25">
      <c r="A223" s="243">
        <v>78</v>
      </c>
      <c r="B223" s="197"/>
      <c r="C223" s="197"/>
      <c r="D223" s="240" t="s">
        <v>202</v>
      </c>
      <c r="G223" s="197"/>
      <c r="H223" s="197"/>
      <c r="I223" s="197"/>
      <c r="J223" s="197"/>
      <c r="K223" s="197"/>
      <c r="L223" s="197"/>
      <c r="M223" s="197"/>
      <c r="N223" s="243"/>
      <c r="O223" s="197"/>
      <c r="P223" s="197"/>
      <c r="Q223" s="197"/>
      <c r="R223" s="197"/>
      <c r="S223" s="197"/>
      <c r="T223" s="197"/>
      <c r="U223" s="197"/>
      <c r="V223" s="197"/>
      <c r="W223" s="197"/>
      <c r="X223" s="197"/>
      <c r="Y223" s="197"/>
      <c r="Z223" s="197"/>
      <c r="AA223" s="197"/>
      <c r="AB223" s="197"/>
      <c r="AC223" s="185">
        <f t="shared" si="3"/>
        <v>0</v>
      </c>
    </row>
    <row r="224" spans="1:29" ht="24" x14ac:dyDescent="0.2">
      <c r="AC224" s="185">
        <f t="shared" si="3"/>
        <v>0</v>
      </c>
    </row>
    <row r="225" spans="29:29" ht="24" x14ac:dyDescent="0.2">
      <c r="AC225" s="185">
        <f t="shared" si="3"/>
        <v>0</v>
      </c>
    </row>
    <row r="226" spans="29:29" ht="24" x14ac:dyDescent="0.2">
      <c r="AC226" s="185">
        <f t="shared" si="3"/>
        <v>0</v>
      </c>
    </row>
    <row r="227" spans="29:29" ht="24" x14ac:dyDescent="0.2">
      <c r="AC227" s="185">
        <f t="shared" si="3"/>
        <v>0</v>
      </c>
    </row>
    <row r="228" spans="29:29" ht="24" x14ac:dyDescent="0.2">
      <c r="AC228" s="185">
        <f t="shared" si="3"/>
        <v>0</v>
      </c>
    </row>
    <row r="229" spans="29:29" ht="24" x14ac:dyDescent="0.2">
      <c r="AC229" s="185">
        <f t="shared" si="3"/>
        <v>0</v>
      </c>
    </row>
    <row r="230" spans="29:29" ht="24" x14ac:dyDescent="0.2">
      <c r="AC230" s="185">
        <f t="shared" si="3"/>
        <v>0</v>
      </c>
    </row>
    <row r="231" spans="29:29" ht="24" x14ac:dyDescent="0.2">
      <c r="AC231" s="185">
        <f t="shared" si="3"/>
        <v>0</v>
      </c>
    </row>
    <row r="232" spans="29:29" ht="24" x14ac:dyDescent="0.2">
      <c r="AC232" s="185">
        <f t="shared" si="3"/>
        <v>0</v>
      </c>
    </row>
    <row r="233" spans="29:29" ht="15" customHeight="1" x14ac:dyDescent="0.2">
      <c r="AC233" s="185">
        <f t="shared" si="3"/>
        <v>0</v>
      </c>
    </row>
    <row r="234" spans="29:29" ht="15" customHeight="1" x14ac:dyDescent="0.2">
      <c r="AC234" s="185">
        <f t="shared" si="3"/>
        <v>0</v>
      </c>
    </row>
  </sheetData>
  <mergeCells count="8">
    <mergeCell ref="A1:D1"/>
    <mergeCell ref="AC1:AC3"/>
    <mergeCell ref="A2:D2"/>
    <mergeCell ref="A135:D135"/>
    <mergeCell ref="A45:D45"/>
    <mergeCell ref="A67:D67"/>
    <mergeCell ref="A91:D91"/>
    <mergeCell ref="A131:D13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7"/>
  <sheetViews>
    <sheetView rightToLeft="1" zoomScale="60" zoomScaleNormal="60" workbookViewId="0">
      <selection activeCell="E43" sqref="E43"/>
    </sheetView>
  </sheetViews>
  <sheetFormatPr baseColWidth="10" defaultColWidth="10.83203125" defaultRowHeight="15" customHeight="1" x14ac:dyDescent="0.2"/>
  <cols>
    <col min="1" max="1" width="10.83203125" style="2"/>
    <col min="2" max="2" width="35" style="2" customWidth="1"/>
    <col min="3" max="3" width="25.6640625" style="2" customWidth="1"/>
    <col min="4" max="4" width="6.33203125" style="2" customWidth="1"/>
    <col min="5" max="5" width="33.1640625" style="2" customWidth="1"/>
    <col min="6" max="6" width="16.33203125" style="2" hidden="1" customWidth="1"/>
    <col min="7" max="7" width="28.83203125" style="2" hidden="1" customWidth="1"/>
    <col min="8" max="8" width="34" style="2" hidden="1" customWidth="1"/>
    <col min="9" max="9" width="24.6640625" style="2" customWidth="1"/>
    <col min="10" max="10" width="10.83203125" style="2"/>
    <col min="11" max="11" width="17.33203125" style="2" customWidth="1"/>
    <col min="12" max="12" width="34.6640625" style="2" customWidth="1"/>
    <col min="13" max="13" width="8.5" style="2" customWidth="1"/>
    <col min="14" max="14" width="45.33203125" style="2" customWidth="1"/>
    <col min="15" max="15" width="16.33203125" style="2" customWidth="1"/>
    <col min="16" max="16384" width="10.83203125" style="2"/>
  </cols>
  <sheetData>
    <row r="1" spans="1:16" x14ac:dyDescent="0.2">
      <c r="A1" s="378" t="s">
        <v>250</v>
      </c>
      <c r="B1" s="378"/>
      <c r="C1" s="2" t="s">
        <v>251</v>
      </c>
      <c r="D1" s="375" t="s">
        <v>252</v>
      </c>
      <c r="E1" s="375"/>
      <c r="F1" s="375"/>
      <c r="G1" s="375"/>
      <c r="H1" s="375"/>
      <c r="I1" s="375"/>
    </row>
    <row r="2" spans="1:16" ht="18" x14ac:dyDescent="0.2">
      <c r="A2" s="379" t="s">
        <v>253</v>
      </c>
      <c r="B2" s="379"/>
      <c r="C2" s="99" t="s">
        <v>254</v>
      </c>
      <c r="D2" s="99" t="s">
        <v>255</v>
      </c>
      <c r="E2" s="100" t="s">
        <v>256</v>
      </c>
      <c r="F2" s="100" t="s">
        <v>257</v>
      </c>
      <c r="G2" s="100" t="s">
        <v>258</v>
      </c>
      <c r="H2" s="100" t="s">
        <v>259</v>
      </c>
      <c r="I2" s="101" t="s">
        <v>260</v>
      </c>
      <c r="L2" s="102" t="s">
        <v>261</v>
      </c>
      <c r="M2" s="102"/>
      <c r="N2" s="102"/>
      <c r="O2" s="102"/>
      <c r="P2" s="102"/>
    </row>
    <row r="3" spans="1:16" ht="18" x14ac:dyDescent="0.2">
      <c r="A3" s="380" t="s">
        <v>262</v>
      </c>
      <c r="B3" s="380"/>
      <c r="C3" s="103" t="s">
        <v>263</v>
      </c>
      <c r="D3" s="103" t="s">
        <v>264</v>
      </c>
      <c r="E3" s="104" t="s">
        <v>265</v>
      </c>
      <c r="F3" s="104" t="s">
        <v>266</v>
      </c>
      <c r="G3" s="104" t="s">
        <v>267</v>
      </c>
      <c r="H3" s="104" t="s">
        <v>268</v>
      </c>
      <c r="I3" s="105" t="s">
        <v>269</v>
      </c>
      <c r="L3" s="102" t="s">
        <v>270</v>
      </c>
      <c r="M3" s="102" t="s">
        <v>271</v>
      </c>
      <c r="N3" s="102" t="s">
        <v>272</v>
      </c>
      <c r="O3" s="102" t="s">
        <v>273</v>
      </c>
      <c r="P3" s="102" t="s">
        <v>255</v>
      </c>
    </row>
    <row r="4" spans="1:16" ht="18" x14ac:dyDescent="0.2">
      <c r="A4" s="106">
        <v>1</v>
      </c>
      <c r="B4" s="107" t="s">
        <v>51</v>
      </c>
      <c r="C4" s="108">
        <f>300+150+150</f>
        <v>600</v>
      </c>
      <c r="D4" s="108" t="s">
        <v>274</v>
      </c>
      <c r="E4" s="109">
        <f>148+147+146+147</f>
        <v>588</v>
      </c>
      <c r="F4" s="109">
        <v>0.4</v>
      </c>
      <c r="G4" s="109">
        <f t="shared" ref="G4:G17" si="0">F4/2</f>
        <v>0.2</v>
      </c>
      <c r="H4" s="109">
        <f t="shared" ref="H4:H17" si="1">G4*E4</f>
        <v>117.60000000000001</v>
      </c>
      <c r="I4" s="110">
        <f t="shared" ref="I4:I17" si="2">E4-C4</f>
        <v>-12</v>
      </c>
      <c r="L4" s="111">
        <v>1</v>
      </c>
      <c r="M4" s="111">
        <v>9603</v>
      </c>
      <c r="N4" s="111" t="s">
        <v>275</v>
      </c>
      <c r="O4" s="111">
        <v>10</v>
      </c>
      <c r="P4" s="111" t="s">
        <v>276</v>
      </c>
    </row>
    <row r="5" spans="1:16" ht="18" x14ac:dyDescent="0.2">
      <c r="A5" s="106">
        <v>2</v>
      </c>
      <c r="B5" s="112" t="s">
        <v>52</v>
      </c>
      <c r="C5" s="108">
        <f>300+150+150</f>
        <v>600</v>
      </c>
      <c r="D5" s="108" t="s">
        <v>274</v>
      </c>
      <c r="E5" s="109">
        <f>148+147+148+147</f>
        <v>590</v>
      </c>
      <c r="F5" s="109">
        <v>0.4</v>
      </c>
      <c r="G5" s="109">
        <f t="shared" si="0"/>
        <v>0.2</v>
      </c>
      <c r="H5" s="109">
        <f t="shared" si="1"/>
        <v>118</v>
      </c>
      <c r="I5" s="110">
        <f t="shared" si="2"/>
        <v>-10</v>
      </c>
      <c r="L5" s="111">
        <v>2</v>
      </c>
      <c r="M5" s="111">
        <v>9054</v>
      </c>
      <c r="N5" s="111" t="s">
        <v>277</v>
      </c>
      <c r="O5" s="111">
        <v>1</v>
      </c>
      <c r="P5" s="111" t="s">
        <v>276</v>
      </c>
    </row>
    <row r="6" spans="1:16" ht="18" x14ac:dyDescent="0.2">
      <c r="A6" s="106">
        <v>3</v>
      </c>
      <c r="B6" s="113" t="s">
        <v>53</v>
      </c>
      <c r="C6" s="108">
        <f>300+150+150</f>
        <v>600</v>
      </c>
      <c r="D6" s="108" t="s">
        <v>274</v>
      </c>
      <c r="E6" s="109">
        <f>148+146+148+148</f>
        <v>590</v>
      </c>
      <c r="F6" s="109">
        <v>0.4</v>
      </c>
      <c r="G6" s="109">
        <f t="shared" si="0"/>
        <v>0.2</v>
      </c>
      <c r="H6" s="109">
        <f t="shared" si="1"/>
        <v>118</v>
      </c>
      <c r="I6" s="110">
        <f t="shared" si="2"/>
        <v>-10</v>
      </c>
      <c r="L6" s="111">
        <v>3</v>
      </c>
      <c r="M6" s="111">
        <v>6200</v>
      </c>
      <c r="N6" s="111" t="s">
        <v>278</v>
      </c>
      <c r="O6" s="111">
        <v>2</v>
      </c>
      <c r="P6" s="111" t="s">
        <v>276</v>
      </c>
    </row>
    <row r="7" spans="1:16" ht="18" x14ac:dyDescent="0.2">
      <c r="A7" s="106">
        <v>4</v>
      </c>
      <c r="B7" s="114" t="s">
        <v>54</v>
      </c>
      <c r="C7" s="108">
        <f>300+150+150</f>
        <v>600</v>
      </c>
      <c r="D7" s="108" t="s">
        <v>274</v>
      </c>
      <c r="E7" s="109">
        <f>148+147+147+147</f>
        <v>589</v>
      </c>
      <c r="F7" s="109">
        <v>0.4</v>
      </c>
      <c r="G7" s="109">
        <f t="shared" si="0"/>
        <v>0.2</v>
      </c>
      <c r="H7" s="109">
        <f t="shared" si="1"/>
        <v>117.80000000000001</v>
      </c>
      <c r="I7" s="110">
        <f t="shared" si="2"/>
        <v>-11</v>
      </c>
      <c r="L7" s="111">
        <v>4</v>
      </c>
      <c r="M7" s="111">
        <v>6200</v>
      </c>
      <c r="N7" s="111" t="s">
        <v>279</v>
      </c>
      <c r="O7" s="111">
        <v>2</v>
      </c>
      <c r="P7" s="111" t="s">
        <v>276</v>
      </c>
    </row>
    <row r="8" spans="1:16" ht="18" x14ac:dyDescent="0.2">
      <c r="A8" s="106">
        <v>5</v>
      </c>
      <c r="B8" s="115" t="s">
        <v>55</v>
      </c>
      <c r="C8" s="108">
        <f>300+150+150</f>
        <v>600</v>
      </c>
      <c r="D8" s="108" t="s">
        <v>274</v>
      </c>
      <c r="E8" s="109">
        <f>146+145+145+145</f>
        <v>581</v>
      </c>
      <c r="F8" s="109">
        <v>0.4</v>
      </c>
      <c r="G8" s="109">
        <f t="shared" si="0"/>
        <v>0.2</v>
      </c>
      <c r="H8" s="109">
        <f t="shared" si="1"/>
        <v>116.2</v>
      </c>
      <c r="I8" s="110">
        <f t="shared" si="2"/>
        <v>-19</v>
      </c>
      <c r="L8" s="111">
        <v>5</v>
      </c>
      <c r="M8" s="111">
        <v>6300</v>
      </c>
      <c r="N8" s="111" t="s">
        <v>280</v>
      </c>
      <c r="O8" s="111">
        <v>2</v>
      </c>
      <c r="P8" s="111" t="s">
        <v>276</v>
      </c>
    </row>
    <row r="9" spans="1:16" ht="18" x14ac:dyDescent="0.2">
      <c r="A9" s="106">
        <v>6</v>
      </c>
      <c r="B9" s="116" t="s">
        <v>56</v>
      </c>
      <c r="C9" s="108">
        <f>150+150+150</f>
        <v>450</v>
      </c>
      <c r="D9" s="108" t="s">
        <v>274</v>
      </c>
      <c r="E9" s="109">
        <f>145+145+145</f>
        <v>435</v>
      </c>
      <c r="F9" s="109">
        <v>0.4</v>
      </c>
      <c r="G9" s="109">
        <f t="shared" si="0"/>
        <v>0.2</v>
      </c>
      <c r="H9" s="109">
        <f t="shared" si="1"/>
        <v>87</v>
      </c>
      <c r="I9" s="110">
        <f t="shared" si="2"/>
        <v>-15</v>
      </c>
      <c r="L9" s="111">
        <v>6</v>
      </c>
      <c r="M9" s="111">
        <v>6300</v>
      </c>
      <c r="N9" s="111" t="s">
        <v>281</v>
      </c>
      <c r="O9" s="111">
        <v>4</v>
      </c>
      <c r="P9" s="111" t="s">
        <v>276</v>
      </c>
    </row>
    <row r="10" spans="1:16" ht="18" x14ac:dyDescent="0.2">
      <c r="A10" s="106">
        <v>7</v>
      </c>
      <c r="B10" s="117" t="s">
        <v>57</v>
      </c>
      <c r="C10" s="108">
        <f>150+150+150</f>
        <v>450</v>
      </c>
      <c r="D10" s="108" t="s">
        <v>274</v>
      </c>
      <c r="E10" s="109">
        <f>141+142+141</f>
        <v>424</v>
      </c>
      <c r="F10" s="109">
        <v>0.4</v>
      </c>
      <c r="G10" s="109">
        <f t="shared" si="0"/>
        <v>0.2</v>
      </c>
      <c r="H10" s="109">
        <f t="shared" si="1"/>
        <v>84.800000000000011</v>
      </c>
      <c r="I10" s="110">
        <f t="shared" si="2"/>
        <v>-26</v>
      </c>
      <c r="L10" s="111">
        <v>7</v>
      </c>
      <c r="M10" s="111">
        <v>6200</v>
      </c>
      <c r="N10" s="111" t="s">
        <v>281</v>
      </c>
      <c r="O10" s="111">
        <v>3</v>
      </c>
      <c r="P10" s="111" t="s">
        <v>276</v>
      </c>
    </row>
    <row r="11" spans="1:16" ht="18" x14ac:dyDescent="0.2">
      <c r="A11" s="106">
        <v>8</v>
      </c>
      <c r="B11" s="118" t="s">
        <v>58</v>
      </c>
      <c r="C11" s="108">
        <f>150+100</f>
        <v>250</v>
      </c>
      <c r="D11" s="108" t="s">
        <v>274</v>
      </c>
      <c r="E11" s="109">
        <f>149+99</f>
        <v>248</v>
      </c>
      <c r="F11" s="109">
        <v>0.4</v>
      </c>
      <c r="G11" s="109">
        <f t="shared" si="0"/>
        <v>0.2</v>
      </c>
      <c r="H11" s="109">
        <f t="shared" si="1"/>
        <v>49.6</v>
      </c>
      <c r="I11" s="110">
        <f t="shared" si="2"/>
        <v>-2</v>
      </c>
      <c r="L11" s="119">
        <v>8</v>
      </c>
      <c r="M11" s="119" t="s">
        <v>282</v>
      </c>
      <c r="N11" s="119" t="s">
        <v>281</v>
      </c>
      <c r="O11" s="119"/>
      <c r="P11" s="119" t="s">
        <v>276</v>
      </c>
    </row>
    <row r="12" spans="1:16" ht="18" x14ac:dyDescent="0.2">
      <c r="A12" s="106">
        <v>9</v>
      </c>
      <c r="B12" s="107" t="s">
        <v>283</v>
      </c>
      <c r="C12" s="108">
        <f>150+150+150</f>
        <v>450</v>
      </c>
      <c r="D12" s="108" t="s">
        <v>274</v>
      </c>
      <c r="E12" s="109">
        <f>146+147+147</f>
        <v>440</v>
      </c>
      <c r="F12" s="109">
        <v>0.4</v>
      </c>
      <c r="G12" s="109">
        <f t="shared" si="0"/>
        <v>0.2</v>
      </c>
      <c r="H12" s="109">
        <f t="shared" si="1"/>
        <v>88</v>
      </c>
      <c r="I12" s="110">
        <f t="shared" si="2"/>
        <v>-10</v>
      </c>
      <c r="L12" s="111">
        <v>9</v>
      </c>
      <c r="M12" s="111">
        <v>6800</v>
      </c>
      <c r="N12" s="111" t="s">
        <v>281</v>
      </c>
      <c r="O12" s="111">
        <v>2</v>
      </c>
      <c r="P12" s="111" t="s">
        <v>276</v>
      </c>
    </row>
    <row r="13" spans="1:16" ht="18" x14ac:dyDescent="0.2">
      <c r="A13" s="106">
        <v>10</v>
      </c>
      <c r="B13" s="109" t="s">
        <v>284</v>
      </c>
      <c r="C13" s="108">
        <v>5</v>
      </c>
      <c r="D13" s="108" t="s">
        <v>274</v>
      </c>
      <c r="E13" s="109">
        <v>5</v>
      </c>
      <c r="F13" s="109">
        <v>1</v>
      </c>
      <c r="G13" s="109">
        <f t="shared" si="0"/>
        <v>0.5</v>
      </c>
      <c r="H13" s="109">
        <f t="shared" si="1"/>
        <v>2.5</v>
      </c>
      <c r="I13" s="110">
        <f t="shared" si="2"/>
        <v>0</v>
      </c>
      <c r="L13" s="111">
        <v>10</v>
      </c>
      <c r="M13" s="111">
        <v>6090</v>
      </c>
      <c r="N13" s="111" t="s">
        <v>285</v>
      </c>
      <c r="O13" s="111">
        <v>5</v>
      </c>
      <c r="P13" s="111" t="s">
        <v>276</v>
      </c>
    </row>
    <row r="14" spans="1:16" ht="18" x14ac:dyDescent="0.2">
      <c r="A14" s="106">
        <v>11</v>
      </c>
      <c r="B14" s="120" t="s">
        <v>286</v>
      </c>
      <c r="C14" s="108">
        <v>2</v>
      </c>
      <c r="D14" s="108" t="s">
        <v>274</v>
      </c>
      <c r="E14" s="109">
        <v>2</v>
      </c>
      <c r="F14" s="109">
        <v>10.7</v>
      </c>
      <c r="G14" s="109">
        <f t="shared" si="0"/>
        <v>5.35</v>
      </c>
      <c r="H14" s="109">
        <f t="shared" si="1"/>
        <v>10.7</v>
      </c>
      <c r="I14" s="110">
        <f t="shared" si="2"/>
        <v>0</v>
      </c>
      <c r="L14" s="111">
        <v>11</v>
      </c>
      <c r="M14" s="111">
        <v>6091</v>
      </c>
      <c r="N14" s="111" t="s">
        <v>287</v>
      </c>
      <c r="O14" s="111">
        <v>10</v>
      </c>
      <c r="P14" s="111" t="s">
        <v>276</v>
      </c>
    </row>
    <row r="15" spans="1:16" ht="18" x14ac:dyDescent="0.2">
      <c r="A15" s="106">
        <v>12</v>
      </c>
      <c r="B15" s="120" t="s">
        <v>71</v>
      </c>
      <c r="C15" s="108">
        <v>5</v>
      </c>
      <c r="D15" s="108" t="s">
        <v>274</v>
      </c>
      <c r="E15" s="109">
        <v>5</v>
      </c>
      <c r="F15" s="109">
        <v>10.1</v>
      </c>
      <c r="G15" s="109">
        <f t="shared" si="0"/>
        <v>5.05</v>
      </c>
      <c r="H15" s="109">
        <f t="shared" si="1"/>
        <v>25.25</v>
      </c>
      <c r="I15" s="110">
        <f t="shared" si="2"/>
        <v>0</v>
      </c>
      <c r="L15" s="111">
        <v>12</v>
      </c>
      <c r="M15" s="111">
        <v>6092</v>
      </c>
      <c r="N15" s="111" t="s">
        <v>288</v>
      </c>
      <c r="O15" s="111">
        <v>10</v>
      </c>
      <c r="P15" s="111" t="s">
        <v>276</v>
      </c>
    </row>
    <row r="16" spans="1:16" ht="18" x14ac:dyDescent="0.2">
      <c r="A16" s="106">
        <v>13</v>
      </c>
      <c r="B16" s="120" t="s">
        <v>289</v>
      </c>
      <c r="C16" s="108">
        <v>3</v>
      </c>
      <c r="D16" s="108" t="s">
        <v>274</v>
      </c>
      <c r="E16" s="109">
        <v>3</v>
      </c>
      <c r="F16" s="109">
        <v>10.7</v>
      </c>
      <c r="G16" s="109">
        <f t="shared" si="0"/>
        <v>5.35</v>
      </c>
      <c r="H16" s="109">
        <f t="shared" si="1"/>
        <v>16.049999999999997</v>
      </c>
      <c r="I16" s="110">
        <f t="shared" si="2"/>
        <v>0</v>
      </c>
      <c r="L16" s="111">
        <v>13</v>
      </c>
      <c r="M16" s="111">
        <v>6903</v>
      </c>
      <c r="N16" s="111" t="s">
        <v>290</v>
      </c>
      <c r="O16" s="111">
        <v>10</v>
      </c>
      <c r="P16" s="111" t="s">
        <v>276</v>
      </c>
    </row>
    <row r="17" spans="1:9" ht="16" x14ac:dyDescent="0.2">
      <c r="A17" s="106">
        <v>14</v>
      </c>
      <c r="B17" s="120" t="s">
        <v>291</v>
      </c>
      <c r="C17" s="108">
        <v>20</v>
      </c>
      <c r="D17" s="108" t="s">
        <v>274</v>
      </c>
      <c r="E17" s="109">
        <v>20</v>
      </c>
      <c r="F17" s="109">
        <v>2.1</v>
      </c>
      <c r="G17" s="109">
        <f t="shared" si="0"/>
        <v>1.05</v>
      </c>
      <c r="H17" s="109">
        <f t="shared" si="1"/>
        <v>21</v>
      </c>
      <c r="I17" s="110">
        <f t="shared" si="2"/>
        <v>0</v>
      </c>
    </row>
    <row r="18" spans="1:9" x14ac:dyDescent="0.2">
      <c r="A18" s="377" t="s">
        <v>292</v>
      </c>
      <c r="B18" s="377"/>
      <c r="C18" s="377"/>
      <c r="D18" s="377"/>
      <c r="E18" s="377"/>
      <c r="F18" s="377"/>
      <c r="G18" s="377"/>
      <c r="H18" s="121">
        <f>SUM(H4:H17)</f>
        <v>972.50000000000011</v>
      </c>
      <c r="I18" s="122">
        <f>SUM(I4:I17)</f>
        <v>-115</v>
      </c>
    </row>
    <row r="20" spans="1:9" x14ac:dyDescent="0.2">
      <c r="A20" s="375" t="s">
        <v>293</v>
      </c>
      <c r="B20" s="375"/>
      <c r="C20" s="2" t="s">
        <v>251</v>
      </c>
      <c r="D20" s="375" t="s">
        <v>294</v>
      </c>
      <c r="E20" s="375"/>
      <c r="F20" s="375"/>
      <c r="G20" s="375"/>
      <c r="H20" s="375"/>
      <c r="I20" s="375"/>
    </row>
    <row r="21" spans="1:9" ht="18" x14ac:dyDescent="0.2">
      <c r="A21" s="123"/>
      <c r="B21" s="124" t="s">
        <v>295</v>
      </c>
      <c r="C21" s="124"/>
      <c r="D21" s="124" t="s">
        <v>296</v>
      </c>
      <c r="E21" s="124" t="s">
        <v>297</v>
      </c>
      <c r="F21" s="124" t="s">
        <v>257</v>
      </c>
      <c r="G21" s="124"/>
      <c r="H21" s="124"/>
      <c r="I21" s="125" t="s">
        <v>260</v>
      </c>
    </row>
    <row r="22" spans="1:9" ht="18" x14ac:dyDescent="0.2">
      <c r="A22" s="376" t="s">
        <v>262</v>
      </c>
      <c r="B22" s="376"/>
      <c r="C22" s="126" t="s">
        <v>263</v>
      </c>
      <c r="D22" s="126" t="s">
        <v>264</v>
      </c>
      <c r="E22" s="127" t="s">
        <v>265</v>
      </c>
      <c r="F22" s="128" t="s">
        <v>269</v>
      </c>
      <c r="G22" s="129"/>
      <c r="H22" s="129"/>
      <c r="I22" s="105" t="s">
        <v>269</v>
      </c>
    </row>
    <row r="23" spans="1:9" x14ac:dyDescent="0.2">
      <c r="A23" s="130">
        <v>1</v>
      </c>
      <c r="B23" s="129" t="s">
        <v>51</v>
      </c>
      <c r="C23" s="129" t="s">
        <v>298</v>
      </c>
      <c r="D23" s="129">
        <v>500</v>
      </c>
      <c r="E23" s="129">
        <v>493</v>
      </c>
      <c r="F23" s="129">
        <f t="shared" ref="F23:F34" si="3">E23-D23</f>
        <v>-7</v>
      </c>
      <c r="G23" s="129"/>
      <c r="H23" s="129"/>
      <c r="I23" s="131">
        <f t="shared" ref="I23:I34" si="4">E23-D23</f>
        <v>-7</v>
      </c>
    </row>
    <row r="24" spans="1:9" x14ac:dyDescent="0.2">
      <c r="A24" s="130">
        <v>2</v>
      </c>
      <c r="B24" s="129" t="s">
        <v>52</v>
      </c>
      <c r="C24" s="129" t="s">
        <v>298</v>
      </c>
      <c r="D24" s="129">
        <v>500</v>
      </c>
      <c r="E24" s="129">
        <v>479</v>
      </c>
      <c r="F24" s="129">
        <f t="shared" si="3"/>
        <v>-21</v>
      </c>
      <c r="G24" s="129"/>
      <c r="H24" s="129"/>
      <c r="I24" s="131">
        <f t="shared" si="4"/>
        <v>-21</v>
      </c>
    </row>
    <row r="25" spans="1:9" x14ac:dyDescent="0.2">
      <c r="A25" s="130">
        <v>3</v>
      </c>
      <c r="B25" s="129" t="s">
        <v>53</v>
      </c>
      <c r="C25" s="129" t="s">
        <v>298</v>
      </c>
      <c r="D25" s="129">
        <v>500</v>
      </c>
      <c r="E25" s="129">
        <v>490</v>
      </c>
      <c r="F25" s="129">
        <f t="shared" si="3"/>
        <v>-10</v>
      </c>
      <c r="G25" s="129"/>
      <c r="H25" s="129"/>
      <c r="I25" s="131">
        <f t="shared" si="4"/>
        <v>-10</v>
      </c>
    </row>
    <row r="26" spans="1:9" x14ac:dyDescent="0.2">
      <c r="A26" s="130">
        <v>4</v>
      </c>
      <c r="B26" s="129" t="s">
        <v>54</v>
      </c>
      <c r="C26" s="129" t="s">
        <v>298</v>
      </c>
      <c r="D26" s="129">
        <v>1000</v>
      </c>
      <c r="E26" s="129">
        <v>969</v>
      </c>
      <c r="F26" s="129">
        <f t="shared" si="3"/>
        <v>-31</v>
      </c>
      <c r="G26" s="129"/>
      <c r="H26" s="129"/>
      <c r="I26" s="131">
        <f t="shared" si="4"/>
        <v>-31</v>
      </c>
    </row>
    <row r="27" spans="1:9" x14ac:dyDescent="0.2">
      <c r="A27" s="130">
        <v>5</v>
      </c>
      <c r="B27" s="129" t="s">
        <v>55</v>
      </c>
      <c r="C27" s="129" t="s">
        <v>298</v>
      </c>
      <c r="D27" s="129">
        <v>250</v>
      </c>
      <c r="E27" s="129">
        <v>240</v>
      </c>
      <c r="F27" s="129">
        <f t="shared" si="3"/>
        <v>-10</v>
      </c>
      <c r="G27" s="129"/>
      <c r="H27" s="129"/>
      <c r="I27" s="131">
        <f t="shared" si="4"/>
        <v>-10</v>
      </c>
    </row>
    <row r="28" spans="1:9" x14ac:dyDescent="0.2">
      <c r="A28" s="130">
        <v>6</v>
      </c>
      <c r="B28" s="129" t="s">
        <v>56</v>
      </c>
      <c r="C28" s="129" t="s">
        <v>298</v>
      </c>
      <c r="D28" s="129">
        <v>450</v>
      </c>
      <c r="E28" s="129">
        <v>432</v>
      </c>
      <c r="F28" s="129">
        <f t="shared" si="3"/>
        <v>-18</v>
      </c>
      <c r="G28" s="129"/>
      <c r="H28" s="129"/>
      <c r="I28" s="131">
        <f t="shared" si="4"/>
        <v>-18</v>
      </c>
    </row>
    <row r="29" spans="1:9" x14ac:dyDescent="0.2">
      <c r="A29" s="130">
        <v>7</v>
      </c>
      <c r="B29" s="129" t="s">
        <v>57</v>
      </c>
      <c r="C29" s="129" t="s">
        <v>298</v>
      </c>
      <c r="D29" s="129">
        <v>200</v>
      </c>
      <c r="E29" s="129">
        <v>193</v>
      </c>
      <c r="F29" s="129">
        <f t="shared" si="3"/>
        <v>-7</v>
      </c>
      <c r="G29" s="129"/>
      <c r="H29" s="129"/>
      <c r="I29" s="131">
        <f t="shared" si="4"/>
        <v>-7</v>
      </c>
    </row>
    <row r="30" spans="1:9" x14ac:dyDescent="0.2">
      <c r="A30" s="130">
        <v>8</v>
      </c>
      <c r="B30" s="129" t="s">
        <v>58</v>
      </c>
      <c r="C30" s="129" t="s">
        <v>298</v>
      </c>
      <c r="D30" s="129">
        <v>200</v>
      </c>
      <c r="E30" s="129">
        <v>194</v>
      </c>
      <c r="F30" s="129">
        <f t="shared" si="3"/>
        <v>-6</v>
      </c>
      <c r="G30" s="129"/>
      <c r="H30" s="129"/>
      <c r="I30" s="131">
        <f t="shared" si="4"/>
        <v>-6</v>
      </c>
    </row>
    <row r="31" spans="1:9" x14ac:dyDescent="0.2">
      <c r="A31" s="130">
        <v>9</v>
      </c>
      <c r="B31" s="129" t="s">
        <v>59</v>
      </c>
      <c r="C31" s="129" t="s">
        <v>298</v>
      </c>
      <c r="D31" s="129">
        <v>206</v>
      </c>
      <c r="E31" s="129">
        <v>202</v>
      </c>
      <c r="F31" s="129">
        <f t="shared" si="3"/>
        <v>-4</v>
      </c>
      <c r="G31" s="129"/>
      <c r="H31" s="129"/>
      <c r="I31" s="131">
        <f t="shared" si="4"/>
        <v>-4</v>
      </c>
    </row>
    <row r="32" spans="1:9" x14ac:dyDescent="0.2">
      <c r="A32" s="130">
        <v>10</v>
      </c>
      <c r="B32" s="129" t="s">
        <v>61</v>
      </c>
      <c r="C32" s="129" t="s">
        <v>299</v>
      </c>
      <c r="D32" s="129">
        <v>10</v>
      </c>
      <c r="E32" s="129">
        <v>10</v>
      </c>
      <c r="F32" s="129">
        <f t="shared" si="3"/>
        <v>0</v>
      </c>
      <c r="G32" s="129"/>
      <c r="H32" s="129"/>
      <c r="I32" s="131">
        <f t="shared" si="4"/>
        <v>0</v>
      </c>
    </row>
    <row r="33" spans="1:19" x14ac:dyDescent="0.2">
      <c r="A33" s="130">
        <v>11</v>
      </c>
      <c r="B33" s="129" t="s">
        <v>71</v>
      </c>
      <c r="C33" s="129" t="s">
        <v>299</v>
      </c>
      <c r="D33" s="129">
        <v>15</v>
      </c>
      <c r="E33" s="129">
        <v>15</v>
      </c>
      <c r="F33" s="129">
        <f t="shared" si="3"/>
        <v>0</v>
      </c>
      <c r="G33" s="129"/>
      <c r="H33" s="129"/>
      <c r="I33" s="131">
        <f t="shared" si="4"/>
        <v>0</v>
      </c>
    </row>
    <row r="34" spans="1:19" x14ac:dyDescent="0.2">
      <c r="A34" s="130">
        <v>12</v>
      </c>
      <c r="B34" s="129" t="s">
        <v>121</v>
      </c>
      <c r="C34" s="129" t="s">
        <v>300</v>
      </c>
      <c r="D34" s="129">
        <v>19</v>
      </c>
      <c r="E34" s="129">
        <v>19</v>
      </c>
      <c r="F34" s="129">
        <f t="shared" si="3"/>
        <v>0</v>
      </c>
      <c r="G34" s="129"/>
      <c r="H34" s="129"/>
      <c r="I34" s="131">
        <f t="shared" si="4"/>
        <v>0</v>
      </c>
      <c r="P34" s="132"/>
      <c r="Q34" s="132"/>
      <c r="R34" s="132"/>
      <c r="S34" s="132"/>
    </row>
    <row r="35" spans="1:19" x14ac:dyDescent="0.2">
      <c r="A35" s="377" t="s">
        <v>301</v>
      </c>
      <c r="B35" s="377"/>
      <c r="C35" s="377"/>
      <c r="D35" s="377"/>
      <c r="E35" s="377"/>
      <c r="F35" s="121"/>
      <c r="G35" s="121"/>
      <c r="H35" s="121"/>
      <c r="I35" s="122">
        <f>SUM(I23:I34)</f>
        <v>-114</v>
      </c>
    </row>
    <row r="47" spans="1:19" x14ac:dyDescent="0.2">
      <c r="J47" s="2" t="s">
        <v>292</v>
      </c>
    </row>
  </sheetData>
  <mergeCells count="9">
    <mergeCell ref="A20:B20"/>
    <mergeCell ref="D20:I20"/>
    <mergeCell ref="A22:B22"/>
    <mergeCell ref="A35:E35"/>
    <mergeCell ref="A1:B1"/>
    <mergeCell ref="D1:I1"/>
    <mergeCell ref="A2:B2"/>
    <mergeCell ref="A3:B3"/>
    <mergeCell ref="A18:G18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جرد ١٥ فبراير ٢٠٢٥</vt:lpstr>
      <vt:lpstr>جرد ١٣ أغسطس ٢٠٢٥ مع الملاحظات</vt:lpstr>
      <vt:lpstr>العهدة الحالية</vt:lpstr>
      <vt:lpstr>الصادر بعد الجرد</vt:lpstr>
      <vt:lpstr>Inventory 12-6-2026</vt:lpstr>
      <vt:lpstr>الوارد بعد الجرد</vt:lpstr>
      <vt:lpstr>order received from WSO us 2024</vt:lpstr>
      <vt:lpstr>'جرد ١٥ فبراير ٢٠٢٥'!Print_Area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Halim</dc:creator>
  <dc:description/>
  <cp:lastModifiedBy>Elsayed Ismail el sayed Ismail</cp:lastModifiedBy>
  <cp:revision>26</cp:revision>
  <cp:lastPrinted>2026-06-12T17:09:57Z</cp:lastPrinted>
  <dcterms:created xsi:type="dcterms:W3CDTF">2023-10-31T07:44:00Z</dcterms:created>
  <dcterms:modified xsi:type="dcterms:W3CDTF">2026-08-10T15:38:10Z</dcterms:modified>
  <dc:language>en-US</dc:language>
</cp:coreProperties>
</file>